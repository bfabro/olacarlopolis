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240" yWindow="60" windowWidth="20115" windowHeight="8010"/>
  </bookViews>
  <sheets>
    <sheet name="Comercios" sheetId="1" r:id="rId1"/>
    <sheet name="Serviços" sheetId="5" r:id="rId2"/>
    <sheet name="Planos para na esquecer" sheetId="2" r:id="rId3"/>
    <sheet name="visitar" sheetId="4" r:id="rId4"/>
    <sheet name="PLANO DE PAGAMENTO" sheetId="6" r:id="rId5"/>
  </sheets>
  <definedNames>
    <definedName name="_xlnm._FilterDatabase" localSheetId="0" hidden="1">Comercios!$A$3:$AG$3</definedName>
  </definedNames>
  <calcPr calcId="145621"/>
  <fileRecoveryPr repairLoad="1"/>
</workbook>
</file>

<file path=xl/calcChain.xml><?xml version="1.0" encoding="utf-8"?>
<calcChain xmlns="http://schemas.openxmlformats.org/spreadsheetml/2006/main">
  <c r="H3" i="6" l="1"/>
  <c r="I3" i="6" s="1"/>
  <c r="H2" i="6"/>
  <c r="I2" i="6" s="1"/>
  <c r="E4" i="6"/>
  <c r="H4" i="6" s="1"/>
  <c r="I4" i="6" s="1"/>
  <c r="E3" i="6"/>
  <c r="E2" i="6"/>
  <c r="D2" i="6"/>
  <c r="K1" i="1" l="1"/>
  <c r="N1" i="5"/>
  <c r="O1" i="5" s="1"/>
  <c r="P2" i="1" l="1"/>
  <c r="J17" i="4" l="1"/>
  <c r="V1" i="1" l="1"/>
  <c r="W1" i="1" s="1"/>
  <c r="R1" i="1"/>
  <c r="S1" i="1" s="1"/>
  <c r="G2" i="5"/>
  <c r="F2" i="5"/>
  <c r="K1" i="5"/>
  <c r="L1" i="5" s="1"/>
  <c r="H1" i="5"/>
  <c r="I1" i="5" s="1"/>
  <c r="N1" i="1"/>
  <c r="G1" i="5" l="1"/>
  <c r="O1" i="1"/>
  <c r="I2" i="1" l="1"/>
  <c r="J2" i="1"/>
  <c r="L1" i="1"/>
  <c r="J1" i="1" l="1"/>
</calcChain>
</file>

<file path=xl/sharedStrings.xml><?xml version="1.0" encoding="utf-8"?>
<sst xmlns="http://schemas.openxmlformats.org/spreadsheetml/2006/main" count="881" uniqueCount="220">
  <si>
    <t>n</t>
  </si>
  <si>
    <t>Topou</t>
  </si>
  <si>
    <t>Valor</t>
  </si>
  <si>
    <t>ASSAO</t>
  </si>
  <si>
    <t>MERCADO BARATEIRO</t>
  </si>
  <si>
    <t>LEMONE</t>
  </si>
  <si>
    <t>REI DO FERRO VELHO</t>
  </si>
  <si>
    <t>SEIZA</t>
  </si>
  <si>
    <t>Sim</t>
  </si>
  <si>
    <t>Categoria</t>
  </si>
  <si>
    <t>Nome</t>
  </si>
  <si>
    <t>Churrasqueiro</t>
  </si>
  <si>
    <t>Flavio</t>
  </si>
  <si>
    <t>Farmacia</t>
  </si>
  <si>
    <t>DA ESTELA</t>
  </si>
  <si>
    <t>DA MENINA</t>
  </si>
  <si>
    <t>EL SHADAY</t>
  </si>
  <si>
    <t>JORGINHO</t>
  </si>
  <si>
    <t>SANTA MARIA</t>
  </si>
  <si>
    <t>Sorveteria</t>
  </si>
  <si>
    <t>Padaria</t>
  </si>
  <si>
    <t>Ferro velho</t>
  </si>
  <si>
    <t>Lanchonete</t>
  </si>
  <si>
    <t>Restaurante</t>
  </si>
  <si>
    <t>DELFINO</t>
  </si>
  <si>
    <t>Santino</t>
  </si>
  <si>
    <t>zero japan</t>
  </si>
  <si>
    <t>prelie</t>
  </si>
  <si>
    <t>casarao</t>
  </si>
  <si>
    <t>RUSSAO</t>
  </si>
  <si>
    <t>QUITANDA</t>
  </si>
  <si>
    <t xml:space="preserve">DA VILA </t>
  </si>
  <si>
    <t>compre bem mais</t>
  </si>
  <si>
    <t>SELATH</t>
  </si>
  <si>
    <t>inserir</t>
  </si>
  <si>
    <t>manicure</t>
  </si>
  <si>
    <t>revendedor</t>
  </si>
  <si>
    <t>cantina italiana</t>
  </si>
  <si>
    <t>açai</t>
  </si>
  <si>
    <t>turmina do acai</t>
  </si>
  <si>
    <t>xis bauinea</t>
  </si>
  <si>
    <t>pizzaria</t>
  </si>
  <si>
    <t>caldo de cana</t>
  </si>
  <si>
    <t>imobiliaria</t>
  </si>
  <si>
    <t>rafael bandeira</t>
  </si>
  <si>
    <t>da2 engenharia / anderson</t>
  </si>
  <si>
    <t>topografia</t>
  </si>
  <si>
    <t>chaveiro</t>
  </si>
  <si>
    <t>serigraf</t>
  </si>
  <si>
    <t>panaceia</t>
  </si>
  <si>
    <t>moto center</t>
  </si>
  <si>
    <t>binho</t>
  </si>
  <si>
    <t>academia</t>
  </si>
  <si>
    <t>beto gun</t>
  </si>
  <si>
    <t>espaço gourmet</t>
  </si>
  <si>
    <t>adega cuenca</t>
  </si>
  <si>
    <t>agropecuaria</t>
  </si>
  <si>
    <t>vida nova</t>
  </si>
  <si>
    <t>assistencia celular</t>
  </si>
  <si>
    <t xml:space="preserve">auto peças </t>
  </si>
  <si>
    <t>paulinho</t>
  </si>
  <si>
    <t>cartorio</t>
  </si>
  <si>
    <t>fabiano</t>
  </si>
  <si>
    <t>jurandir</t>
  </si>
  <si>
    <t>confecão</t>
  </si>
  <si>
    <t>rogerio</t>
  </si>
  <si>
    <t xml:space="preserve">grafica </t>
  </si>
  <si>
    <t>moveis</t>
  </si>
  <si>
    <t>movepar</t>
  </si>
  <si>
    <t>produtos de limpeza</t>
  </si>
  <si>
    <t>produtos orientais</t>
  </si>
  <si>
    <t>radio</t>
  </si>
  <si>
    <t>fran</t>
  </si>
  <si>
    <t>portal</t>
  </si>
  <si>
    <t>da di wesley</t>
  </si>
  <si>
    <t>ying yang</t>
  </si>
  <si>
    <t>SuperMercado</t>
  </si>
  <si>
    <t>rocha</t>
  </si>
  <si>
    <t>kelve</t>
  </si>
  <si>
    <t>cantor</t>
  </si>
  <si>
    <t>foguinho</t>
  </si>
  <si>
    <t xml:space="preserve">guia de pesca </t>
  </si>
  <si>
    <t>fabio katumi</t>
  </si>
  <si>
    <t>funeraria</t>
  </si>
  <si>
    <t>cristo rei</t>
  </si>
  <si>
    <t>castilho</t>
  </si>
  <si>
    <t>despachante</t>
  </si>
  <si>
    <t>rodriguinho</t>
  </si>
  <si>
    <t>auto peça</t>
  </si>
  <si>
    <t>norberto</t>
  </si>
  <si>
    <t>vando que faz balaio</t>
  </si>
  <si>
    <t>autocenter speed tork</t>
  </si>
  <si>
    <t>material construçao</t>
  </si>
  <si>
    <t>pago</t>
  </si>
  <si>
    <t>Entregue?</t>
  </si>
  <si>
    <t>Disk gas</t>
  </si>
  <si>
    <t>sim</t>
  </si>
  <si>
    <t>meio</t>
  </si>
  <si>
    <t>Dinheiro</t>
  </si>
  <si>
    <t>Status</t>
  </si>
  <si>
    <t>Junho</t>
  </si>
  <si>
    <t>Total</t>
  </si>
  <si>
    <t>Pix</t>
  </si>
  <si>
    <t>podologa</t>
  </si>
  <si>
    <t>vania</t>
  </si>
  <si>
    <t>ione  ( Fabiana souza batista leite)</t>
  </si>
  <si>
    <t>salles  ( Luzia Cristina da Luz)</t>
  </si>
  <si>
    <t xml:space="preserve">Agropecuaria </t>
  </si>
  <si>
    <t>Lia gas</t>
  </si>
  <si>
    <t>Celeiro ( Eli )</t>
  </si>
  <si>
    <t>my coffe RENATO JAPONES</t>
  </si>
  <si>
    <t>PIX</t>
  </si>
  <si>
    <t>ferreira do dirceu ( dirceu b f cia )</t>
  </si>
  <si>
    <t>esquina do pao ( maria caroline da silva)</t>
  </si>
  <si>
    <t>DO ZURDO ( central carlopolense)</t>
  </si>
  <si>
    <t>São jose ( j r do carmo e cia )</t>
  </si>
  <si>
    <t>Clinica veterinaria</t>
  </si>
  <si>
    <t>celso</t>
  </si>
  <si>
    <t>e f cell ( elias ferreira gonçalves</t>
  </si>
  <si>
    <t>artesanato</t>
  </si>
  <si>
    <t>di dog ( luciana e almeida silva carlopolis )</t>
  </si>
  <si>
    <t>relojoaria</t>
  </si>
  <si>
    <t>pix</t>
  </si>
  <si>
    <t>hime</t>
  </si>
  <si>
    <t xml:space="preserve">açougue </t>
  </si>
  <si>
    <t>Agrocasa varraschin</t>
  </si>
  <si>
    <t>cantinho da praça ( tatiane moreira da silva)</t>
  </si>
  <si>
    <t>kater ( mara angelia alves )</t>
  </si>
  <si>
    <t>fornalha ( Cledson jose dos santos )</t>
  </si>
  <si>
    <t>Loja pesca</t>
  </si>
  <si>
    <t>thiago aguera</t>
  </si>
  <si>
    <t>peixaria</t>
  </si>
  <si>
    <t>coopanorpi</t>
  </si>
  <si>
    <t>oficina celular</t>
  </si>
  <si>
    <t>pesca e presente</t>
  </si>
  <si>
    <t>eletricista</t>
  </si>
  <si>
    <t>cybernetico</t>
  </si>
  <si>
    <t>Julho</t>
  </si>
  <si>
    <t>Pago</t>
  </si>
  <si>
    <t>SABOR DA ROÇA ( Amanda Simao)</t>
  </si>
  <si>
    <t>ver quem é jose aparecido de sousa que pagou</t>
  </si>
  <si>
    <t>the best açai  soares comercio ltda</t>
  </si>
  <si>
    <t>galego ( luciane marques dos santos)</t>
  </si>
  <si>
    <t>JEREMIAS ( p m ldo ltda) ( h a s b )</t>
  </si>
  <si>
    <t>assessoria de balistica</t>
  </si>
  <si>
    <t>Inicio</t>
  </si>
  <si>
    <t>floricultura</t>
  </si>
  <si>
    <t>Mr potato</t>
  </si>
  <si>
    <t>produtos naturais</t>
  </si>
  <si>
    <t>cantinho saudavel</t>
  </si>
  <si>
    <t>sorveteria</t>
  </si>
  <si>
    <t>forty shake</t>
  </si>
  <si>
    <t>vidracaria</t>
  </si>
  <si>
    <t>salles vidros</t>
  </si>
  <si>
    <t>Bom preço</t>
  </si>
  <si>
    <t>NÃO</t>
  </si>
  <si>
    <t>SIM</t>
  </si>
  <si>
    <t>Agosto</t>
  </si>
  <si>
    <t>Setembro</t>
  </si>
  <si>
    <t>Não</t>
  </si>
  <si>
    <t>não</t>
  </si>
  <si>
    <t>Cobrado?</t>
  </si>
  <si>
    <t>Gustavo</t>
  </si>
  <si>
    <t>PIMENTA DOCE ( MURADOR GAMA )</t>
  </si>
  <si>
    <t>do baiano ( claudio cesar )</t>
  </si>
  <si>
    <t xml:space="preserve">auto eletrica </t>
  </si>
  <si>
    <t>taxista</t>
  </si>
  <si>
    <t>dorival aparecido mattos</t>
  </si>
  <si>
    <t>06/25</t>
  </si>
  <si>
    <t>SAIU</t>
  </si>
  <si>
    <t>07/25</t>
  </si>
  <si>
    <t>namigo</t>
  </si>
  <si>
    <t>toninho parana</t>
  </si>
  <si>
    <t>desentupidora</t>
  </si>
  <si>
    <t>GCY</t>
  </si>
  <si>
    <t>encanador</t>
  </si>
  <si>
    <t>gerson</t>
  </si>
  <si>
    <t>TAXISTA</t>
  </si>
  <si>
    <t>SEREIA</t>
  </si>
  <si>
    <t>Rosa de Saron ( angela aparecida godoi )</t>
  </si>
  <si>
    <t>Dt Pgto</t>
  </si>
  <si>
    <t>açougue curitiba ( carlos daniel de camargo)</t>
  </si>
  <si>
    <t xml:space="preserve">mariana veloso de souza </t>
  </si>
  <si>
    <t>Ver quem é?</t>
  </si>
  <si>
    <t>central do andre  (ANDRE LEANDRO)</t>
  </si>
  <si>
    <t>pizzaria tony</t>
  </si>
  <si>
    <t>pesqueiro aqua marine</t>
  </si>
  <si>
    <t>piscinas</t>
  </si>
  <si>
    <t>MH PISCINAS</t>
  </si>
  <si>
    <t>08/25</t>
  </si>
  <si>
    <t>CALHAS</t>
  </si>
  <si>
    <t>NELSON CALHAS</t>
  </si>
  <si>
    <t>DOCES E CHOCOLATES</t>
  </si>
  <si>
    <t>CACAU SHOW</t>
  </si>
  <si>
    <t>DINHEIRO</t>
  </si>
  <si>
    <t>japonesa</t>
  </si>
  <si>
    <t>martini - mario ( fernanda de souza )  ( Saiu Agosto )</t>
  </si>
  <si>
    <t>LEVI SALGADOS ( Maria Clara ) ( Saiu Agosto )</t>
  </si>
  <si>
    <t>judite  ( Saiu Agosto )</t>
  </si>
  <si>
    <t>Dt Pg</t>
  </si>
  <si>
    <t>Paty mao de ouro ( PATRICIA DE OLIVEIRA )</t>
  </si>
  <si>
    <t>renan (C A DE CARVALHO SALVI)</t>
  </si>
  <si>
    <t>C E V ASSISTENCIA ( CLAUDINEIA DE OLIVEI )</t>
  </si>
  <si>
    <t>DESONTO FACIL ( BERGAMO E FAIZ )</t>
  </si>
  <si>
    <t>ki dog  ( NOEL PEREIRA BARROS )</t>
  </si>
  <si>
    <t>SAUDE FARMA (ROMANO CAMARGO)</t>
  </si>
  <si>
    <t>MENSAL</t>
  </si>
  <si>
    <t>TIPO</t>
  </si>
  <si>
    <t>VALOR</t>
  </si>
  <si>
    <t>TOTAL OS 12 MESES</t>
  </si>
  <si>
    <t>SEMESTRAL</t>
  </si>
  <si>
    <t>ANUAL</t>
  </si>
  <si>
    <t>TOTAL DE CLIENTES</t>
  </si>
  <si>
    <t>MÊS</t>
  </si>
  <si>
    <t>ANO</t>
  </si>
  <si>
    <t>PAGO</t>
  </si>
  <si>
    <t>Deve Total</t>
  </si>
  <si>
    <t>lobofitness ( RALDIANI RODRIGUES DE )</t>
  </si>
  <si>
    <t>Parou</t>
  </si>
  <si>
    <t>Em dia?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</si>
</sst>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3" borderId="2" xfId="0" applyFont="1" applyFill="1" applyBorder="1" applyAlignment="1"/>
    <xf numFmtId="0" fontId="2" fillId="3" borderId="4" xfId="0" applyFont="1" applyFill="1" applyBorder="1" applyAlignment="1"/>
    <xf numFmtId="164" fontId="0" fillId="2" borderId="1" xfId="0" applyNumberForma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0" fillId="2" borderId="2" xfId="0" applyNumberFormat="1" applyFill="1" applyBorder="1"/>
    <xf numFmtId="164" fontId="0" fillId="0" borderId="2" xfId="0" applyNumberFormat="1" applyBorder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4" fontId="2" fillId="3" borderId="3" xfId="0" applyNumberFormat="1" applyFont="1" applyFill="1" applyBorder="1" applyAlignment="1"/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2" borderId="5" xfId="0" applyFill="1" applyBorder="1" applyAlignment="1">
      <alignment horizontal="center"/>
    </xf>
    <xf numFmtId="0" fontId="2" fillId="3" borderId="1" xfId="0" applyFont="1" applyFill="1" applyBorder="1" applyAlignmen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2" fillId="3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4" xfId="0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7" fontId="0" fillId="0" borderId="2" xfId="0" applyNumberFormat="1" applyBorder="1"/>
    <xf numFmtId="0" fontId="2" fillId="3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4" fontId="0" fillId="7" borderId="4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7" borderId="1" xfId="0" applyFill="1" applyBorder="1"/>
    <xf numFmtId="164" fontId="0" fillId="7" borderId="2" xfId="0" applyNumberFormat="1" applyFill="1" applyBorder="1"/>
    <xf numFmtId="17" fontId="0" fillId="7" borderId="2" xfId="0" applyNumberFormat="1" applyFill="1" applyBorder="1"/>
    <xf numFmtId="16" fontId="0" fillId="2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0" applyNumberFormat="1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16" fontId="0" fillId="2" borderId="10" xfId="0" applyNumberFormat="1" applyFill="1" applyBorder="1" applyAlignment="1">
      <alignment horizontal="center"/>
    </xf>
    <xf numFmtId="0" fontId="0" fillId="2" borderId="0" xfId="0" applyFill="1" applyBorder="1"/>
    <xf numFmtId="164" fontId="0" fillId="7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7" borderId="10" xfId="0" applyNumberFormat="1" applyFill="1" applyBorder="1" applyAlignment="1">
      <alignment horizontal="center"/>
    </xf>
    <xf numFmtId="16" fontId="0" fillId="7" borderId="10" xfId="0" applyNumberFormat="1" applyFill="1" applyBorder="1" applyAlignment="1">
      <alignment horizontal="center"/>
    </xf>
    <xf numFmtId="14" fontId="3" fillId="7" borderId="10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5" xfId="0" applyFill="1" applyBorder="1"/>
    <xf numFmtId="0" fontId="0" fillId="2" borderId="10" xfId="0" applyFill="1" applyBorder="1"/>
    <xf numFmtId="0" fontId="3" fillId="2" borderId="10" xfId="0" applyFont="1" applyFill="1" applyBorder="1"/>
    <xf numFmtId="0" fontId="0" fillId="2" borderId="13" xfId="0" applyFill="1" applyBorder="1"/>
    <xf numFmtId="0" fontId="2" fillId="8" borderId="10" xfId="0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16" fontId="0" fillId="2" borderId="2" xfId="0" applyNumberFormat="1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1" fillId="5" borderId="1" xfId="0" applyFont="1" applyFill="1" applyBorder="1"/>
    <xf numFmtId="0" fontId="3" fillId="5" borderId="1" xfId="0" applyFont="1" applyFill="1" applyBorder="1"/>
    <xf numFmtId="16" fontId="1" fillId="2" borderId="10" xfId="0" applyNumberFormat="1" applyFont="1" applyFill="1" applyBorder="1" applyAlignment="1">
      <alignment horizontal="center"/>
    </xf>
    <xf numFmtId="16" fontId="3" fillId="2" borderId="10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" fontId="0" fillId="2" borderId="10" xfId="0" applyNumberFormat="1" applyFill="1" applyBorder="1"/>
    <xf numFmtId="0" fontId="0" fillId="0" borderId="5" xfId="0" applyBorder="1"/>
    <xf numFmtId="0" fontId="2" fillId="6" borderId="7" xfId="0" applyFont="1" applyFill="1" applyBorder="1" applyAlignment="1">
      <alignment horizontal="center"/>
    </xf>
    <xf numFmtId="0" fontId="0" fillId="0" borderId="8" xfId="0" applyBorder="1"/>
    <xf numFmtId="0" fontId="0" fillId="0" borderId="10" xfId="0" applyBorder="1"/>
    <xf numFmtId="16" fontId="0" fillId="0" borderId="10" xfId="0" applyNumberFormat="1" applyBorder="1" applyAlignment="1">
      <alignment horizontal="center"/>
    </xf>
    <xf numFmtId="0" fontId="0" fillId="0" borderId="13" xfId="0" applyBorder="1"/>
    <xf numFmtId="0" fontId="2" fillId="3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G278"/>
  <sheetViews>
    <sheetView tabSelected="1" workbookViewId="0">
      <pane xSplit="7" ySplit="3" topLeftCell="H4" activePane="bottomRight" state="frozen"/>
      <selection pane="topRight" activeCell="G1" sqref="G1"/>
      <selection pane="bottomLeft" activeCell="A4" sqref="A4"/>
      <selection pane="bottomRight" activeCell="H9" sqref="H9"/>
    </sheetView>
  </sheetViews>
  <sheetFormatPr defaultRowHeight="15" x14ac:dyDescent="0.25"/>
  <cols>
    <col min="1" max="1" width="6.7109375" style="68" bestFit="1" customWidth="1"/>
    <col min="2" max="2" width="20.7109375" style="69" bestFit="1" customWidth="1"/>
    <col min="3" max="3" width="47.7109375" style="69" bestFit="1" customWidth="1"/>
    <col min="4" max="4" width="11.140625" style="68" bestFit="1" customWidth="1"/>
    <col min="5" max="7" width="11.140625" style="68" customWidth="1"/>
    <col min="8" max="8" width="10.42578125" style="68" bestFit="1" customWidth="1"/>
    <col min="9" max="9" width="10.7109375" style="70" bestFit="1" customWidth="1"/>
    <col min="10" max="10" width="14.5703125" style="70" bestFit="1" customWidth="1"/>
    <col min="11" max="11" width="11" style="68" bestFit="1" customWidth="1"/>
    <col min="12" max="12" width="10.140625" style="68" bestFit="1" customWidth="1"/>
    <col min="13" max="13" width="12" style="68" bestFit="1" customWidth="1"/>
    <col min="14" max="14" width="11" style="68" bestFit="1" customWidth="1"/>
    <col min="15" max="15" width="10.140625" style="68" bestFit="1" customWidth="1"/>
    <col min="16" max="16" width="14" style="68" bestFit="1" customWidth="1"/>
    <col min="17" max="17" width="12" style="68" bestFit="1" customWidth="1"/>
    <col min="18" max="18" width="11" style="68" bestFit="1" customWidth="1"/>
    <col min="19" max="19" width="10.140625" style="68" bestFit="1" customWidth="1"/>
    <col min="20" max="20" width="14" style="68" bestFit="1" customWidth="1"/>
    <col min="21" max="21" width="12" style="68" bestFit="1" customWidth="1"/>
    <col min="22" max="22" width="11" style="68" bestFit="1" customWidth="1"/>
    <col min="23" max="23" width="10.140625" style="68" bestFit="1" customWidth="1"/>
    <col min="24" max="24" width="14" style="68" bestFit="1" customWidth="1"/>
    <col min="25" max="25" width="12" style="69" bestFit="1" customWidth="1"/>
    <col min="26" max="16384" width="9.140625" style="69"/>
  </cols>
  <sheetData>
    <row r="1" spans="1:33" customFormat="1" x14ac:dyDescent="0.25">
      <c r="A1" s="27"/>
      <c r="B1" s="27"/>
      <c r="C1" s="27"/>
      <c r="D1" s="48"/>
      <c r="E1" s="136"/>
      <c r="F1" s="138"/>
      <c r="G1" s="138"/>
      <c r="H1" s="48"/>
      <c r="I1" s="48"/>
      <c r="J1" s="15">
        <f>I2-L1</f>
        <v>1345</v>
      </c>
      <c r="K1" s="30">
        <f>COUNTIFS(K4:K250,"pago")</f>
        <v>47</v>
      </c>
      <c r="L1" s="31">
        <f>K1*30</f>
        <v>1410</v>
      </c>
      <c r="M1" s="32"/>
      <c r="N1" s="30">
        <f>COUNTIFS(N4:N250,"Pago")</f>
        <v>54</v>
      </c>
      <c r="O1" s="31">
        <f>N1*30</f>
        <v>1620</v>
      </c>
      <c r="P1" s="31"/>
      <c r="Q1" s="32"/>
      <c r="R1" s="30">
        <f>COUNTIFS(R4:R250,"Pago")</f>
        <v>32</v>
      </c>
      <c r="S1" s="31">
        <f>R1*30</f>
        <v>960</v>
      </c>
      <c r="T1" s="31"/>
      <c r="U1" s="32"/>
      <c r="V1" s="30">
        <f>COUNTIFS(V4:V250,"Pago")</f>
        <v>2</v>
      </c>
      <c r="W1" s="31">
        <f>V1*30</f>
        <v>60</v>
      </c>
      <c r="X1" s="31"/>
      <c r="Y1" s="32"/>
    </row>
    <row r="2" spans="1:33" customFormat="1" x14ac:dyDescent="0.25">
      <c r="A2" s="27"/>
      <c r="B2" s="27"/>
      <c r="C2" s="27"/>
      <c r="D2" s="48" t="s">
        <v>101</v>
      </c>
      <c r="E2" s="136"/>
      <c r="F2" s="138"/>
      <c r="G2" s="138"/>
      <c r="H2" s="48"/>
      <c r="I2" s="10">
        <f>SUM(I4:I249)</f>
        <v>2755</v>
      </c>
      <c r="J2" s="105">
        <f>COUNTIFS(J4:J250,"sim")</f>
        <v>71</v>
      </c>
      <c r="K2" s="140" t="s">
        <v>100</v>
      </c>
      <c r="L2" s="141"/>
      <c r="M2" s="90"/>
      <c r="N2" s="142" t="s">
        <v>137</v>
      </c>
      <c r="O2" s="143"/>
      <c r="P2" s="48">
        <f>COUNTIFS(P4:P250,"sim")</f>
        <v>23</v>
      </c>
      <c r="Q2" s="33"/>
      <c r="R2" s="142" t="s">
        <v>157</v>
      </c>
      <c r="S2" s="143"/>
      <c r="T2" s="48"/>
      <c r="U2" s="33"/>
      <c r="V2" s="142" t="s">
        <v>158</v>
      </c>
      <c r="W2" s="143"/>
      <c r="X2" s="48"/>
      <c r="Y2" s="33"/>
    </row>
    <row r="3" spans="1:33" customFormat="1" x14ac:dyDescent="0.25">
      <c r="A3" s="48" t="s">
        <v>0</v>
      </c>
      <c r="B3" s="48" t="s">
        <v>9</v>
      </c>
      <c r="C3" s="48" t="s">
        <v>10</v>
      </c>
      <c r="D3" s="48" t="s">
        <v>1</v>
      </c>
      <c r="E3" s="136" t="s">
        <v>216</v>
      </c>
      <c r="F3" s="138" t="s">
        <v>219</v>
      </c>
      <c r="G3" s="138" t="s">
        <v>218</v>
      </c>
      <c r="H3" s="48" t="s">
        <v>145</v>
      </c>
      <c r="I3" s="10" t="s">
        <v>2</v>
      </c>
      <c r="J3" s="15" t="s">
        <v>94</v>
      </c>
      <c r="K3" s="49" t="s">
        <v>99</v>
      </c>
      <c r="L3" s="48" t="s">
        <v>97</v>
      </c>
      <c r="M3" s="33" t="s">
        <v>180</v>
      </c>
      <c r="N3" s="49" t="s">
        <v>99</v>
      </c>
      <c r="O3" s="48" t="s">
        <v>97</v>
      </c>
      <c r="P3" s="48" t="s">
        <v>161</v>
      </c>
      <c r="Q3" s="33" t="s">
        <v>180</v>
      </c>
      <c r="R3" s="49" t="s">
        <v>99</v>
      </c>
      <c r="S3" s="48" t="s">
        <v>97</v>
      </c>
      <c r="T3" s="48" t="s">
        <v>161</v>
      </c>
      <c r="U3" s="33" t="s">
        <v>180</v>
      </c>
      <c r="V3" s="49" t="s">
        <v>99</v>
      </c>
      <c r="W3" s="48" t="s">
        <v>97</v>
      </c>
      <c r="X3" s="48" t="s">
        <v>161</v>
      </c>
      <c r="Y3" s="33" t="s">
        <v>180</v>
      </c>
    </row>
    <row r="4" spans="1:33" s="8" customFormat="1" x14ac:dyDescent="0.25">
      <c r="A4" s="6">
        <v>1</v>
      </c>
      <c r="B4" s="7" t="s">
        <v>52</v>
      </c>
      <c r="C4" s="7" t="s">
        <v>217</v>
      </c>
      <c r="D4" s="6" t="s">
        <v>8</v>
      </c>
      <c r="E4" s="6"/>
      <c r="F4" s="6" t="s">
        <v>159</v>
      </c>
      <c r="G4" s="6" t="s">
        <v>8</v>
      </c>
      <c r="H4" s="55" t="s">
        <v>168</v>
      </c>
      <c r="I4" s="56">
        <v>30</v>
      </c>
      <c r="J4" s="74" t="s">
        <v>96</v>
      </c>
      <c r="K4" s="108" t="s">
        <v>93</v>
      </c>
      <c r="L4" s="57" t="s">
        <v>111</v>
      </c>
      <c r="M4" s="79">
        <v>45826</v>
      </c>
      <c r="N4" s="44"/>
      <c r="O4" s="6"/>
      <c r="P4" s="6" t="s">
        <v>8</v>
      </c>
      <c r="Q4" s="53"/>
      <c r="R4" s="44"/>
      <c r="S4" s="6"/>
      <c r="T4" s="6"/>
      <c r="U4" s="53"/>
      <c r="V4" s="44"/>
      <c r="W4" s="6"/>
      <c r="X4" s="6"/>
      <c r="Y4" s="87"/>
    </row>
    <row r="5" spans="1:33" s="8" customFormat="1" x14ac:dyDescent="0.25">
      <c r="A5" s="6">
        <v>2</v>
      </c>
      <c r="B5" s="7" t="s">
        <v>38</v>
      </c>
      <c r="C5" s="7" t="s">
        <v>39</v>
      </c>
      <c r="D5" s="6" t="s">
        <v>8</v>
      </c>
      <c r="E5" s="6">
        <v>60</v>
      </c>
      <c r="F5" s="6"/>
      <c r="G5" s="6"/>
      <c r="H5" s="46" t="s">
        <v>170</v>
      </c>
      <c r="I5" s="14">
        <v>30</v>
      </c>
      <c r="J5" s="75" t="s">
        <v>96</v>
      </c>
      <c r="K5" s="44"/>
      <c r="L5" s="6"/>
      <c r="M5" s="53"/>
      <c r="N5" s="44" t="s">
        <v>138</v>
      </c>
      <c r="O5" s="6" t="s">
        <v>122</v>
      </c>
      <c r="P5" s="6"/>
      <c r="Q5" s="72">
        <v>45849</v>
      </c>
      <c r="R5" s="44"/>
      <c r="S5" s="6"/>
      <c r="T5" s="6"/>
      <c r="U5" s="53"/>
      <c r="V5" s="44"/>
      <c r="W5" s="6"/>
      <c r="X5" s="6"/>
      <c r="Y5" s="87"/>
    </row>
    <row r="6" spans="1:33" s="8" customFormat="1" x14ac:dyDescent="0.25">
      <c r="A6" s="6">
        <v>3</v>
      </c>
      <c r="B6" s="7" t="s">
        <v>38</v>
      </c>
      <c r="C6" s="7" t="s">
        <v>141</v>
      </c>
      <c r="D6" s="6" t="s">
        <v>8</v>
      </c>
      <c r="E6" s="6"/>
      <c r="F6" s="6"/>
      <c r="G6" s="6"/>
      <c r="H6" s="46" t="s">
        <v>170</v>
      </c>
      <c r="I6" s="14">
        <v>30</v>
      </c>
      <c r="J6" s="75" t="s">
        <v>96</v>
      </c>
      <c r="K6" s="44"/>
      <c r="L6" s="6"/>
      <c r="M6" s="53"/>
      <c r="N6" s="44" t="s">
        <v>138</v>
      </c>
      <c r="O6" s="6" t="s">
        <v>122</v>
      </c>
      <c r="P6" s="6"/>
      <c r="Q6" s="72">
        <v>45846</v>
      </c>
      <c r="R6" s="44" t="s">
        <v>138</v>
      </c>
      <c r="S6" s="6" t="s">
        <v>122</v>
      </c>
      <c r="T6" s="6"/>
      <c r="U6" s="72">
        <v>45874</v>
      </c>
      <c r="V6" s="44" t="s">
        <v>138</v>
      </c>
      <c r="W6" s="6" t="s">
        <v>122</v>
      </c>
      <c r="X6" s="6"/>
      <c r="Y6" s="72">
        <v>45909</v>
      </c>
    </row>
    <row r="7" spans="1:33" customFormat="1" x14ac:dyDescent="0.25">
      <c r="A7" s="6">
        <v>4</v>
      </c>
      <c r="B7" s="7" t="s">
        <v>124</v>
      </c>
      <c r="C7" s="7" t="s">
        <v>181</v>
      </c>
      <c r="D7" s="6" t="s">
        <v>8</v>
      </c>
      <c r="E7" s="6"/>
      <c r="F7" s="6"/>
      <c r="G7" s="6"/>
      <c r="H7" s="55" t="s">
        <v>168</v>
      </c>
      <c r="I7" s="56">
        <v>30</v>
      </c>
      <c r="J7" s="74" t="s">
        <v>8</v>
      </c>
      <c r="K7" s="108" t="s">
        <v>93</v>
      </c>
      <c r="L7" s="57" t="s">
        <v>102</v>
      </c>
      <c r="M7" s="79">
        <v>45824</v>
      </c>
      <c r="N7" s="44" t="s">
        <v>138</v>
      </c>
      <c r="O7" s="6" t="s">
        <v>122</v>
      </c>
      <c r="P7" s="6"/>
      <c r="Q7" s="72">
        <v>45852</v>
      </c>
      <c r="R7" s="44"/>
      <c r="S7" s="6"/>
      <c r="T7" s="6"/>
      <c r="U7" s="53"/>
      <c r="V7" s="44"/>
      <c r="W7" s="6"/>
      <c r="X7" s="6"/>
      <c r="Y7" s="87"/>
      <c r="Z7" s="8"/>
      <c r="AA7" s="8"/>
      <c r="AB7" s="8"/>
      <c r="AC7" s="8"/>
      <c r="AD7" s="8"/>
      <c r="AE7" s="8"/>
      <c r="AF7" s="8"/>
      <c r="AG7" s="8"/>
    </row>
    <row r="8" spans="1:33" s="8" customFormat="1" x14ac:dyDescent="0.25">
      <c r="A8" s="6">
        <v>5</v>
      </c>
      <c r="B8" s="7" t="s">
        <v>56</v>
      </c>
      <c r="C8" s="7" t="s">
        <v>57</v>
      </c>
      <c r="D8" s="6" t="s">
        <v>8</v>
      </c>
      <c r="E8" s="6"/>
      <c r="F8" s="6"/>
      <c r="G8" s="6"/>
      <c r="H8" s="55" t="s">
        <v>168</v>
      </c>
      <c r="I8" s="56">
        <v>30</v>
      </c>
      <c r="J8" s="74" t="s">
        <v>96</v>
      </c>
      <c r="K8" s="108" t="s">
        <v>93</v>
      </c>
      <c r="L8" s="57" t="s">
        <v>102</v>
      </c>
      <c r="M8" s="80">
        <v>45816</v>
      </c>
      <c r="N8" s="44" t="s">
        <v>138</v>
      </c>
      <c r="O8" s="6" t="s">
        <v>98</v>
      </c>
      <c r="P8" s="6"/>
      <c r="Q8" s="72">
        <v>45853</v>
      </c>
      <c r="R8" s="44"/>
      <c r="S8" s="6"/>
      <c r="T8" s="6"/>
      <c r="U8" s="53"/>
      <c r="V8" s="44"/>
      <c r="W8" s="6"/>
      <c r="X8" s="6"/>
      <c r="Y8" s="87"/>
    </row>
    <row r="9" spans="1:33" s="8" customFormat="1" x14ac:dyDescent="0.25">
      <c r="A9" s="6">
        <v>6</v>
      </c>
      <c r="B9" s="7" t="s">
        <v>107</v>
      </c>
      <c r="C9" s="7" t="s">
        <v>115</v>
      </c>
      <c r="D9" s="6" t="s">
        <v>8</v>
      </c>
      <c r="E9" s="6"/>
      <c r="F9" s="6"/>
      <c r="G9" s="6"/>
      <c r="H9" s="55" t="s">
        <v>168</v>
      </c>
      <c r="I9" s="56">
        <v>30</v>
      </c>
      <c r="J9" s="74" t="s">
        <v>96</v>
      </c>
      <c r="K9" s="108" t="s">
        <v>93</v>
      </c>
      <c r="L9" s="57" t="s">
        <v>111</v>
      </c>
      <c r="M9" s="79">
        <v>45821</v>
      </c>
      <c r="N9" s="44" t="s">
        <v>93</v>
      </c>
      <c r="O9" s="6" t="s">
        <v>111</v>
      </c>
      <c r="P9" s="6"/>
      <c r="Q9" s="72">
        <v>45852</v>
      </c>
      <c r="R9" s="44" t="s">
        <v>93</v>
      </c>
      <c r="S9" s="6" t="s">
        <v>111</v>
      </c>
      <c r="T9" s="6"/>
      <c r="U9" s="72">
        <v>45876</v>
      </c>
      <c r="V9" s="44"/>
      <c r="W9" s="6"/>
      <c r="X9" s="6"/>
      <c r="Y9" s="87"/>
    </row>
    <row r="10" spans="1:33" s="8" customFormat="1" x14ac:dyDescent="0.25">
      <c r="A10" s="6">
        <v>7</v>
      </c>
      <c r="B10" s="7" t="s">
        <v>107</v>
      </c>
      <c r="C10" s="7" t="s">
        <v>125</v>
      </c>
      <c r="D10" s="6" t="s">
        <v>8</v>
      </c>
      <c r="E10" s="6"/>
      <c r="F10" s="6"/>
      <c r="G10" s="6"/>
      <c r="H10" s="46" t="s">
        <v>170</v>
      </c>
      <c r="I10" s="14">
        <v>30</v>
      </c>
      <c r="J10" s="75" t="s">
        <v>96</v>
      </c>
      <c r="K10" s="44"/>
      <c r="L10" s="6"/>
      <c r="M10" s="53"/>
      <c r="N10" s="44" t="s">
        <v>93</v>
      </c>
      <c r="O10" s="6" t="s">
        <v>111</v>
      </c>
      <c r="P10" s="6"/>
      <c r="Q10" s="72">
        <v>45853</v>
      </c>
      <c r="R10" s="44"/>
      <c r="S10" s="6"/>
      <c r="T10" s="6"/>
      <c r="U10" s="53"/>
      <c r="V10" s="44"/>
      <c r="W10" s="6"/>
      <c r="X10" s="6"/>
      <c r="Y10" s="87"/>
    </row>
    <row r="11" spans="1:33" s="8" customFormat="1" x14ac:dyDescent="0.25">
      <c r="A11" s="6">
        <v>8</v>
      </c>
      <c r="B11" s="38" t="s">
        <v>119</v>
      </c>
      <c r="C11" s="38" t="s">
        <v>198</v>
      </c>
      <c r="D11" s="39" t="s">
        <v>8</v>
      </c>
      <c r="E11" s="39"/>
      <c r="F11" s="39"/>
      <c r="G11" s="39"/>
      <c r="H11" s="92" t="s">
        <v>168</v>
      </c>
      <c r="I11" s="101">
        <v>30</v>
      </c>
      <c r="J11" s="76" t="s">
        <v>96</v>
      </c>
      <c r="K11" s="109" t="s">
        <v>93</v>
      </c>
      <c r="L11" s="63" t="s">
        <v>111</v>
      </c>
      <c r="M11" s="81">
        <v>45824</v>
      </c>
      <c r="N11" s="83" t="s">
        <v>169</v>
      </c>
      <c r="O11" s="39"/>
      <c r="P11" s="39"/>
      <c r="Q11" s="84"/>
      <c r="R11" s="83"/>
      <c r="S11" s="39"/>
      <c r="T11" s="39"/>
      <c r="U11" s="84"/>
      <c r="V11" s="83"/>
      <c r="W11" s="39"/>
      <c r="X11" s="39"/>
      <c r="Y11" s="87"/>
    </row>
    <row r="12" spans="1:33" s="8" customFormat="1" x14ac:dyDescent="0.25">
      <c r="A12" s="6">
        <v>9</v>
      </c>
      <c r="B12" s="7" t="s">
        <v>119</v>
      </c>
      <c r="C12" s="7" t="s">
        <v>200</v>
      </c>
      <c r="D12" s="6" t="s">
        <v>96</v>
      </c>
      <c r="E12" s="6"/>
      <c r="F12" s="6"/>
      <c r="G12" s="6"/>
      <c r="H12" s="46" t="s">
        <v>170</v>
      </c>
      <c r="I12" s="14">
        <v>30</v>
      </c>
      <c r="J12" s="75" t="s">
        <v>155</v>
      </c>
      <c r="K12" s="44"/>
      <c r="L12" s="6"/>
      <c r="M12" s="53"/>
      <c r="N12" s="44" t="s">
        <v>138</v>
      </c>
      <c r="O12" s="6" t="s">
        <v>102</v>
      </c>
      <c r="P12" s="6"/>
      <c r="Q12" s="72">
        <v>45859</v>
      </c>
      <c r="R12" s="44" t="s">
        <v>93</v>
      </c>
      <c r="S12" s="6" t="s">
        <v>111</v>
      </c>
      <c r="T12" s="6"/>
      <c r="U12" s="72">
        <v>45881</v>
      </c>
      <c r="V12" s="44"/>
      <c r="W12" s="6"/>
      <c r="X12" s="6"/>
      <c r="Y12" s="87"/>
    </row>
    <row r="13" spans="1:33" s="8" customFormat="1" x14ac:dyDescent="0.25">
      <c r="A13" s="6">
        <v>10</v>
      </c>
      <c r="B13" s="7" t="s">
        <v>144</v>
      </c>
      <c r="C13" s="7" t="s">
        <v>53</v>
      </c>
      <c r="D13" s="6" t="s">
        <v>8</v>
      </c>
      <c r="E13" s="6"/>
      <c r="F13" s="6"/>
      <c r="G13" s="6"/>
      <c r="H13" s="46" t="s">
        <v>170</v>
      </c>
      <c r="I13" s="14">
        <v>30</v>
      </c>
      <c r="J13" s="75" t="s">
        <v>155</v>
      </c>
      <c r="K13" s="44"/>
      <c r="L13" s="6"/>
      <c r="M13" s="53"/>
      <c r="N13" s="44"/>
      <c r="O13" s="6"/>
      <c r="P13" s="6"/>
      <c r="Q13" s="53"/>
      <c r="R13" s="44"/>
      <c r="S13" s="6"/>
      <c r="T13" s="6"/>
      <c r="U13" s="53"/>
      <c r="V13" s="44"/>
      <c r="W13" s="6"/>
      <c r="X13" s="6"/>
      <c r="Y13" s="87"/>
    </row>
    <row r="14" spans="1:33" customFormat="1" x14ac:dyDescent="0.25">
      <c r="A14" s="6">
        <v>11</v>
      </c>
      <c r="B14" s="7" t="s">
        <v>58</v>
      </c>
      <c r="C14" s="7" t="s">
        <v>118</v>
      </c>
      <c r="D14" s="6" t="s">
        <v>8</v>
      </c>
      <c r="E14" s="6"/>
      <c r="F14" s="6"/>
      <c r="G14" s="6"/>
      <c r="H14" s="55" t="s">
        <v>168</v>
      </c>
      <c r="I14" s="56">
        <v>30</v>
      </c>
      <c r="J14" s="74" t="s">
        <v>96</v>
      </c>
      <c r="K14" s="108" t="s">
        <v>93</v>
      </c>
      <c r="L14" s="57" t="s">
        <v>111</v>
      </c>
      <c r="M14" s="79">
        <v>45824</v>
      </c>
      <c r="N14" s="50" t="s">
        <v>93</v>
      </c>
      <c r="O14" s="24" t="s">
        <v>111</v>
      </c>
      <c r="P14" s="6"/>
      <c r="Q14" s="72">
        <v>45849</v>
      </c>
      <c r="R14" s="44"/>
      <c r="S14" s="6"/>
      <c r="T14" s="6"/>
      <c r="U14" s="53"/>
      <c r="V14" s="44"/>
      <c r="W14" s="6"/>
      <c r="X14" s="6"/>
      <c r="Y14" s="87"/>
      <c r="Z14" s="8"/>
      <c r="AA14" s="8"/>
      <c r="AB14" s="8"/>
      <c r="AC14" s="8"/>
      <c r="AD14" s="8"/>
      <c r="AE14" s="8"/>
      <c r="AF14" s="8"/>
      <c r="AG14" s="8"/>
    </row>
    <row r="15" spans="1:33" s="40" customFormat="1" x14ac:dyDescent="0.25">
      <c r="A15" s="6">
        <v>12</v>
      </c>
      <c r="B15" s="7" t="s">
        <v>58</v>
      </c>
      <c r="C15" s="7" t="s">
        <v>202</v>
      </c>
      <c r="D15" s="6" t="s">
        <v>96</v>
      </c>
      <c r="E15" s="6"/>
      <c r="F15" s="6"/>
      <c r="G15" s="6"/>
      <c r="H15" s="46" t="s">
        <v>170</v>
      </c>
      <c r="I15" s="14">
        <v>30</v>
      </c>
      <c r="J15" s="75" t="s">
        <v>8</v>
      </c>
      <c r="K15" s="44"/>
      <c r="L15" s="6"/>
      <c r="M15" s="53"/>
      <c r="N15" s="50" t="s">
        <v>93</v>
      </c>
      <c r="O15" s="24" t="s">
        <v>111</v>
      </c>
      <c r="P15" s="6"/>
      <c r="Q15" s="72">
        <v>45852</v>
      </c>
      <c r="R15" s="44"/>
      <c r="S15" s="6"/>
      <c r="T15" s="6"/>
      <c r="U15" s="53"/>
      <c r="V15" s="44"/>
      <c r="W15" s="6"/>
      <c r="X15" s="6"/>
      <c r="Y15" s="88"/>
    </row>
    <row r="16" spans="1:33" s="8" customFormat="1" x14ac:dyDescent="0.25">
      <c r="A16" s="6">
        <v>13</v>
      </c>
      <c r="B16" s="7" t="s">
        <v>58</v>
      </c>
      <c r="C16" s="7" t="s">
        <v>133</v>
      </c>
      <c r="D16" s="6" t="s">
        <v>8</v>
      </c>
      <c r="E16" s="6"/>
      <c r="F16" s="6"/>
      <c r="G16" s="6"/>
      <c r="H16" s="46" t="s">
        <v>170</v>
      </c>
      <c r="I16" s="14">
        <v>30</v>
      </c>
      <c r="J16" s="75" t="s">
        <v>96</v>
      </c>
      <c r="K16" s="44"/>
      <c r="L16" s="6"/>
      <c r="M16" s="53"/>
      <c r="N16" s="44" t="s">
        <v>138</v>
      </c>
      <c r="O16" s="6" t="s">
        <v>102</v>
      </c>
      <c r="P16" s="6"/>
      <c r="Q16" s="72">
        <v>45842</v>
      </c>
      <c r="R16" s="44" t="s">
        <v>138</v>
      </c>
      <c r="S16" s="6" t="s">
        <v>102</v>
      </c>
      <c r="T16" s="6"/>
      <c r="U16" s="72">
        <v>45880</v>
      </c>
      <c r="V16" s="44"/>
      <c r="W16" s="6"/>
      <c r="X16" s="6"/>
      <c r="Y16" s="87"/>
    </row>
    <row r="17" spans="1:33" customFormat="1" x14ac:dyDescent="0.25">
      <c r="A17" s="6">
        <v>14</v>
      </c>
      <c r="B17" s="7" t="s">
        <v>165</v>
      </c>
      <c r="C17" s="7" t="s">
        <v>201</v>
      </c>
      <c r="D17" s="6" t="s">
        <v>8</v>
      </c>
      <c r="E17" s="6"/>
      <c r="F17" s="6"/>
      <c r="G17" s="6"/>
      <c r="H17" s="46" t="s">
        <v>170</v>
      </c>
      <c r="I17" s="14">
        <v>30</v>
      </c>
      <c r="J17" s="75" t="s">
        <v>96</v>
      </c>
      <c r="K17" s="44"/>
      <c r="L17" s="6"/>
      <c r="M17" s="53"/>
      <c r="N17" s="44" t="s">
        <v>138</v>
      </c>
      <c r="O17" s="6" t="s">
        <v>102</v>
      </c>
      <c r="P17" s="6"/>
      <c r="Q17" s="72">
        <v>45854</v>
      </c>
      <c r="R17" s="44" t="s">
        <v>138</v>
      </c>
      <c r="S17" s="6" t="s">
        <v>102</v>
      </c>
      <c r="T17" s="6"/>
      <c r="U17" s="72">
        <v>45880</v>
      </c>
      <c r="V17" s="44"/>
      <c r="W17" s="6"/>
      <c r="X17" s="6"/>
      <c r="Y17" s="87"/>
      <c r="Z17" s="8"/>
      <c r="AA17" s="8"/>
      <c r="AB17" s="8"/>
      <c r="AC17" s="8"/>
      <c r="AD17" s="8"/>
      <c r="AE17" s="8"/>
      <c r="AF17" s="8"/>
      <c r="AG17" s="8"/>
    </row>
    <row r="18" spans="1:33" customFormat="1" x14ac:dyDescent="0.25">
      <c r="A18" s="6">
        <v>15</v>
      </c>
      <c r="B18" s="7" t="s">
        <v>88</v>
      </c>
      <c r="C18" s="7" t="s">
        <v>89</v>
      </c>
      <c r="D18" s="6" t="s">
        <v>8</v>
      </c>
      <c r="E18" s="6"/>
      <c r="F18" s="6"/>
      <c r="G18" s="6"/>
      <c r="H18" s="46" t="s">
        <v>170</v>
      </c>
      <c r="I18" s="102">
        <v>30</v>
      </c>
      <c r="J18" s="75" t="s">
        <v>155</v>
      </c>
      <c r="K18" s="44"/>
      <c r="L18" s="6"/>
      <c r="M18" s="53"/>
      <c r="N18" s="44"/>
      <c r="O18" s="6"/>
      <c r="P18" s="6"/>
      <c r="Q18" s="53"/>
      <c r="R18" s="44"/>
      <c r="S18" s="6"/>
      <c r="T18" s="6"/>
      <c r="U18" s="53"/>
      <c r="V18" s="44"/>
      <c r="W18" s="6"/>
      <c r="X18" s="6"/>
      <c r="Y18" s="87"/>
      <c r="Z18" s="8"/>
      <c r="AA18" s="8"/>
      <c r="AB18" s="8"/>
      <c r="AC18" s="8"/>
      <c r="AD18" s="8"/>
      <c r="AE18" s="8"/>
      <c r="AF18" s="8"/>
      <c r="AG18" s="8"/>
    </row>
    <row r="19" spans="1:33" s="8" customFormat="1" x14ac:dyDescent="0.25">
      <c r="A19" s="6">
        <v>16</v>
      </c>
      <c r="B19" s="7" t="s">
        <v>61</v>
      </c>
      <c r="C19" s="7" t="s">
        <v>62</v>
      </c>
      <c r="D19" s="6" t="s">
        <v>8</v>
      </c>
      <c r="E19" s="6"/>
      <c r="F19" s="6"/>
      <c r="G19" s="6"/>
      <c r="H19" s="46" t="s">
        <v>170</v>
      </c>
      <c r="I19" s="14">
        <v>30</v>
      </c>
      <c r="J19" s="75" t="s">
        <v>156</v>
      </c>
      <c r="K19" s="44"/>
      <c r="L19" s="6"/>
      <c r="M19" s="53"/>
      <c r="N19" s="44" t="s">
        <v>93</v>
      </c>
      <c r="O19" s="6" t="s">
        <v>111</v>
      </c>
      <c r="P19" s="6"/>
      <c r="Q19" s="72">
        <v>45866</v>
      </c>
      <c r="R19" s="44" t="s">
        <v>93</v>
      </c>
      <c r="S19" s="6" t="s">
        <v>111</v>
      </c>
      <c r="T19" s="6"/>
      <c r="U19" s="72">
        <v>45880</v>
      </c>
      <c r="V19" s="44"/>
      <c r="W19" s="6"/>
      <c r="X19" s="6"/>
      <c r="Y19" s="87"/>
    </row>
    <row r="20" spans="1:33" s="8" customFormat="1" x14ac:dyDescent="0.25">
      <c r="A20" s="6">
        <v>17</v>
      </c>
      <c r="B20" s="7" t="s">
        <v>47</v>
      </c>
      <c r="C20" s="7" t="s">
        <v>184</v>
      </c>
      <c r="D20" s="6" t="s">
        <v>8</v>
      </c>
      <c r="E20" s="6"/>
      <c r="F20" s="6"/>
      <c r="G20" s="6"/>
      <c r="H20" s="55" t="s">
        <v>168</v>
      </c>
      <c r="I20" s="56">
        <v>30</v>
      </c>
      <c r="J20" s="74" t="s">
        <v>96</v>
      </c>
      <c r="K20" s="108" t="s">
        <v>93</v>
      </c>
      <c r="L20" s="57" t="s">
        <v>111</v>
      </c>
      <c r="M20" s="79">
        <v>45818</v>
      </c>
      <c r="N20" s="44" t="s">
        <v>93</v>
      </c>
      <c r="O20" s="6" t="s">
        <v>111</v>
      </c>
      <c r="P20" s="6"/>
      <c r="Q20" s="72">
        <v>45867</v>
      </c>
      <c r="R20" s="44"/>
      <c r="S20" s="6"/>
      <c r="T20" s="6"/>
      <c r="U20" s="53"/>
      <c r="V20" s="44"/>
      <c r="W20" s="6"/>
      <c r="X20" s="6"/>
      <c r="Y20" s="87"/>
    </row>
    <row r="21" spans="1:33" s="8" customFormat="1" x14ac:dyDescent="0.25">
      <c r="A21" s="6">
        <v>18</v>
      </c>
      <c r="B21" s="7" t="s">
        <v>116</v>
      </c>
      <c r="C21" s="7" t="s">
        <v>63</v>
      </c>
      <c r="D21" s="28" t="s">
        <v>8</v>
      </c>
      <c r="E21" s="28"/>
      <c r="F21" s="28"/>
      <c r="G21" s="28"/>
      <c r="H21" s="46" t="s">
        <v>170</v>
      </c>
      <c r="I21" s="14"/>
      <c r="J21" s="75"/>
      <c r="K21" s="44"/>
      <c r="L21" s="6"/>
      <c r="M21" s="53"/>
      <c r="N21" s="44"/>
      <c r="O21" s="6"/>
      <c r="P21" s="6"/>
      <c r="Q21" s="53"/>
      <c r="R21" s="44"/>
      <c r="S21" s="6"/>
      <c r="T21" s="6"/>
      <c r="U21" s="53"/>
      <c r="V21" s="44"/>
      <c r="W21" s="6"/>
      <c r="X21" s="6"/>
      <c r="Y21" s="87"/>
    </row>
    <row r="22" spans="1:33" s="8" customFormat="1" x14ac:dyDescent="0.25">
      <c r="A22" s="6">
        <v>19</v>
      </c>
      <c r="B22" s="7" t="s">
        <v>116</v>
      </c>
      <c r="C22" s="7" t="s">
        <v>117</v>
      </c>
      <c r="D22" s="6" t="s">
        <v>8</v>
      </c>
      <c r="E22" s="6"/>
      <c r="F22" s="6"/>
      <c r="G22" s="6"/>
      <c r="H22" s="46" t="s">
        <v>170</v>
      </c>
      <c r="I22" s="14">
        <v>30</v>
      </c>
      <c r="J22" s="75" t="s">
        <v>155</v>
      </c>
      <c r="K22" s="44"/>
      <c r="L22" s="6"/>
      <c r="M22" s="53"/>
      <c r="N22" s="44"/>
      <c r="O22" s="6"/>
      <c r="P22" s="6"/>
      <c r="Q22" s="53"/>
      <c r="R22" s="44"/>
      <c r="S22" s="6"/>
      <c r="T22" s="6"/>
      <c r="U22" s="53"/>
      <c r="V22" s="44"/>
      <c r="W22" s="6"/>
      <c r="X22" s="6"/>
      <c r="Y22" s="87"/>
    </row>
    <row r="23" spans="1:33" s="8" customFormat="1" x14ac:dyDescent="0.25">
      <c r="A23" s="6">
        <v>20</v>
      </c>
      <c r="B23" s="7" t="s">
        <v>64</v>
      </c>
      <c r="C23" s="7" t="s">
        <v>49</v>
      </c>
      <c r="D23" s="6" t="s">
        <v>8</v>
      </c>
      <c r="E23" s="6"/>
      <c r="F23" s="6"/>
      <c r="G23" s="6"/>
      <c r="H23" s="55" t="s">
        <v>168</v>
      </c>
      <c r="I23" s="56">
        <v>30</v>
      </c>
      <c r="J23" s="74" t="s">
        <v>96</v>
      </c>
      <c r="K23" s="108" t="s">
        <v>93</v>
      </c>
      <c r="L23" s="57" t="s">
        <v>111</v>
      </c>
      <c r="M23" s="79">
        <v>45819</v>
      </c>
      <c r="N23" s="44" t="s">
        <v>138</v>
      </c>
      <c r="O23" s="6" t="s">
        <v>102</v>
      </c>
      <c r="P23" s="6"/>
      <c r="Q23" s="72">
        <v>45845</v>
      </c>
      <c r="R23" s="44" t="s">
        <v>138</v>
      </c>
      <c r="S23" s="6" t="s">
        <v>122</v>
      </c>
      <c r="T23" s="6"/>
      <c r="U23" s="72">
        <v>45876</v>
      </c>
      <c r="V23" s="44"/>
      <c r="W23" s="6"/>
      <c r="X23" s="6"/>
      <c r="Y23" s="87"/>
    </row>
    <row r="24" spans="1:33" s="8" customFormat="1" x14ac:dyDescent="0.25">
      <c r="A24" s="6">
        <v>21</v>
      </c>
      <c r="B24" s="7" t="s">
        <v>173</v>
      </c>
      <c r="C24" s="7" t="s">
        <v>174</v>
      </c>
      <c r="D24" s="6" t="s">
        <v>8</v>
      </c>
      <c r="E24" s="6"/>
      <c r="F24" s="6"/>
      <c r="G24" s="6"/>
      <c r="H24" s="46" t="s">
        <v>170</v>
      </c>
      <c r="I24" s="14">
        <v>25</v>
      </c>
      <c r="J24" s="75" t="s">
        <v>155</v>
      </c>
      <c r="K24" s="44"/>
      <c r="L24" s="6"/>
      <c r="M24" s="53"/>
      <c r="N24" s="44" t="s">
        <v>138</v>
      </c>
      <c r="O24" s="6" t="s">
        <v>102</v>
      </c>
      <c r="P24" s="6"/>
      <c r="Q24" s="72">
        <v>45862</v>
      </c>
      <c r="R24" s="44"/>
      <c r="S24" s="6"/>
      <c r="T24" s="6"/>
      <c r="U24" s="53"/>
      <c r="V24" s="44"/>
      <c r="W24" s="6"/>
      <c r="X24" s="6"/>
      <c r="Y24" s="87"/>
    </row>
    <row r="25" spans="1:33" s="37" customFormat="1" x14ac:dyDescent="0.25">
      <c r="A25" s="6">
        <v>22</v>
      </c>
      <c r="B25" s="7" t="s">
        <v>86</v>
      </c>
      <c r="C25" s="7" t="s">
        <v>87</v>
      </c>
      <c r="D25" s="6" t="s">
        <v>8</v>
      </c>
      <c r="E25" s="6"/>
      <c r="F25" s="6"/>
      <c r="G25" s="6"/>
      <c r="H25" s="46" t="s">
        <v>170</v>
      </c>
      <c r="I25" s="14">
        <v>30</v>
      </c>
      <c r="J25" s="75" t="s">
        <v>155</v>
      </c>
      <c r="K25" s="44"/>
      <c r="L25" s="6"/>
      <c r="M25" s="53"/>
      <c r="N25" s="44"/>
      <c r="O25" s="6"/>
      <c r="P25" s="6"/>
      <c r="Q25" s="53"/>
      <c r="R25" s="44"/>
      <c r="S25" s="6"/>
      <c r="T25" s="6"/>
      <c r="U25" s="53"/>
      <c r="V25" s="44"/>
      <c r="W25" s="6"/>
      <c r="X25" s="6"/>
      <c r="Y25" s="87"/>
      <c r="Z25" s="8"/>
      <c r="AA25" s="8"/>
      <c r="AB25" s="8"/>
      <c r="AC25" s="8"/>
      <c r="AD25" s="8"/>
      <c r="AE25" s="8"/>
      <c r="AF25" s="8"/>
      <c r="AG25" s="8"/>
    </row>
    <row r="26" spans="1:33" s="37" customFormat="1" x14ac:dyDescent="0.25">
      <c r="A26" s="6">
        <v>23</v>
      </c>
      <c r="B26" s="7" t="s">
        <v>95</v>
      </c>
      <c r="C26" s="7" t="s">
        <v>65</v>
      </c>
      <c r="D26" s="6" t="s">
        <v>8</v>
      </c>
      <c r="E26" s="6"/>
      <c r="F26" s="6"/>
      <c r="G26" s="6"/>
      <c r="H26" s="46" t="s">
        <v>170</v>
      </c>
      <c r="I26" s="14">
        <v>30</v>
      </c>
      <c r="J26" s="75" t="s">
        <v>96</v>
      </c>
      <c r="K26" s="44"/>
      <c r="L26" s="6"/>
      <c r="M26" s="53"/>
      <c r="N26" s="44" t="s">
        <v>138</v>
      </c>
      <c r="O26" s="6" t="s">
        <v>102</v>
      </c>
      <c r="P26" s="6"/>
      <c r="Q26" s="72">
        <v>45848</v>
      </c>
      <c r="R26" s="44"/>
      <c r="S26" s="6"/>
      <c r="T26" s="6"/>
      <c r="U26" s="53"/>
      <c r="V26" s="44"/>
      <c r="W26" s="6"/>
      <c r="X26" s="6"/>
      <c r="Y26" s="87"/>
      <c r="Z26" s="8"/>
      <c r="AA26" s="8"/>
      <c r="AB26" s="8"/>
      <c r="AC26" s="8"/>
      <c r="AD26" s="8"/>
      <c r="AE26" s="8"/>
      <c r="AF26" s="8"/>
      <c r="AG26" s="8"/>
    </row>
    <row r="27" spans="1:33" s="37" customFormat="1" x14ac:dyDescent="0.25">
      <c r="A27" s="6">
        <v>24</v>
      </c>
      <c r="B27" s="7" t="s">
        <v>95</v>
      </c>
      <c r="C27" s="7" t="s">
        <v>108</v>
      </c>
      <c r="D27" s="6" t="s">
        <v>8</v>
      </c>
      <c r="E27" s="6"/>
      <c r="F27" s="6"/>
      <c r="G27" s="6"/>
      <c r="H27" s="46" t="s">
        <v>170</v>
      </c>
      <c r="I27" s="14">
        <v>30</v>
      </c>
      <c r="J27" s="75" t="s">
        <v>96</v>
      </c>
      <c r="K27" s="44"/>
      <c r="L27" s="6"/>
      <c r="M27" s="53"/>
      <c r="N27" s="44" t="s">
        <v>138</v>
      </c>
      <c r="O27" s="6" t="s">
        <v>122</v>
      </c>
      <c r="P27" s="6"/>
      <c r="Q27" s="72">
        <v>45869</v>
      </c>
      <c r="R27" s="44" t="s">
        <v>138</v>
      </c>
      <c r="S27" s="6" t="s">
        <v>122</v>
      </c>
      <c r="T27" s="6"/>
      <c r="U27" s="72">
        <v>45869</v>
      </c>
      <c r="V27" s="44" t="s">
        <v>138</v>
      </c>
      <c r="W27" s="6" t="s">
        <v>122</v>
      </c>
      <c r="X27" s="6"/>
      <c r="Y27" s="129">
        <v>45869</v>
      </c>
      <c r="Z27" s="8"/>
      <c r="AA27" s="8"/>
      <c r="AB27" s="8"/>
      <c r="AC27" s="8"/>
      <c r="AD27" s="8"/>
      <c r="AE27" s="8"/>
      <c r="AF27" s="8"/>
      <c r="AG27" s="8"/>
    </row>
    <row r="28" spans="1:33" s="37" customFormat="1" x14ac:dyDescent="0.25">
      <c r="A28" s="121">
        <v>25</v>
      </c>
      <c r="B28" s="122" t="s">
        <v>13</v>
      </c>
      <c r="C28" s="122" t="s">
        <v>14</v>
      </c>
      <c r="D28" s="6" t="s">
        <v>8</v>
      </c>
      <c r="E28" s="6"/>
      <c r="F28" s="6"/>
      <c r="G28" s="6"/>
      <c r="H28" s="55" t="s">
        <v>168</v>
      </c>
      <c r="I28" s="56">
        <v>30</v>
      </c>
      <c r="J28" s="74" t="s">
        <v>8</v>
      </c>
      <c r="K28" s="108" t="s">
        <v>93</v>
      </c>
      <c r="L28" s="57" t="s">
        <v>98</v>
      </c>
      <c r="M28" s="80">
        <v>45816</v>
      </c>
      <c r="N28" s="44"/>
      <c r="O28" s="6"/>
      <c r="P28" s="6" t="s">
        <v>96</v>
      </c>
      <c r="Q28" s="53"/>
      <c r="R28" s="44"/>
      <c r="S28" s="6"/>
      <c r="T28" s="6"/>
      <c r="U28" s="53"/>
      <c r="V28" s="44"/>
      <c r="W28" s="6"/>
      <c r="X28" s="6"/>
      <c r="Y28" s="87"/>
      <c r="Z28" s="8"/>
      <c r="AA28" s="8"/>
      <c r="AB28" s="8"/>
      <c r="AC28" s="8"/>
      <c r="AD28" s="8"/>
      <c r="AE28" s="8"/>
      <c r="AF28" s="8"/>
      <c r="AG28" s="8"/>
    </row>
    <row r="29" spans="1:33" s="37" customFormat="1" x14ac:dyDescent="0.25">
      <c r="A29" s="121">
        <v>26</v>
      </c>
      <c r="B29" s="122" t="s">
        <v>13</v>
      </c>
      <c r="C29" s="122" t="s">
        <v>15</v>
      </c>
      <c r="D29" s="6" t="s">
        <v>8</v>
      </c>
      <c r="E29" s="6"/>
      <c r="F29" s="6"/>
      <c r="G29" s="6"/>
      <c r="H29" s="55" t="s">
        <v>168</v>
      </c>
      <c r="I29" s="56">
        <v>30</v>
      </c>
      <c r="J29" s="74" t="s">
        <v>8</v>
      </c>
      <c r="K29" s="108" t="s">
        <v>93</v>
      </c>
      <c r="L29" s="57" t="s">
        <v>98</v>
      </c>
      <c r="M29" s="80">
        <v>45816</v>
      </c>
      <c r="N29" s="44"/>
      <c r="O29" s="6"/>
      <c r="P29" s="6" t="s">
        <v>96</v>
      </c>
      <c r="Q29" s="53"/>
      <c r="R29" s="44"/>
      <c r="S29" s="6"/>
      <c r="T29" s="6"/>
      <c r="U29" s="53"/>
      <c r="V29" s="44"/>
      <c r="W29" s="6"/>
      <c r="X29" s="6"/>
      <c r="Y29" s="87"/>
      <c r="Z29" s="8"/>
      <c r="AA29" s="8"/>
      <c r="AB29" s="8"/>
      <c r="AC29" s="8"/>
      <c r="AD29" s="8"/>
      <c r="AE29" s="8"/>
      <c r="AF29" s="8"/>
      <c r="AG29" s="8"/>
    </row>
    <row r="30" spans="1:33" s="8" customFormat="1" x14ac:dyDescent="0.25">
      <c r="A30" s="121">
        <v>27</v>
      </c>
      <c r="B30" s="122" t="s">
        <v>13</v>
      </c>
      <c r="C30" s="122" t="s">
        <v>31</v>
      </c>
      <c r="D30" s="6" t="s">
        <v>8</v>
      </c>
      <c r="E30" s="6"/>
      <c r="F30" s="6"/>
      <c r="G30" s="6"/>
      <c r="H30" s="55" t="s">
        <v>168</v>
      </c>
      <c r="I30" s="56">
        <v>30</v>
      </c>
      <c r="J30" s="74" t="s">
        <v>96</v>
      </c>
      <c r="K30" s="108" t="s">
        <v>93</v>
      </c>
      <c r="L30" s="57" t="s">
        <v>111</v>
      </c>
      <c r="M30" s="79">
        <v>45821</v>
      </c>
      <c r="N30" s="50" t="s">
        <v>93</v>
      </c>
      <c r="O30" s="24" t="s">
        <v>122</v>
      </c>
      <c r="P30" s="6" t="s">
        <v>96</v>
      </c>
      <c r="Q30" s="72">
        <v>45852</v>
      </c>
      <c r="R30" s="50" t="s">
        <v>93</v>
      </c>
      <c r="S30" s="24" t="s">
        <v>122</v>
      </c>
      <c r="T30" s="6"/>
      <c r="U30" s="72">
        <v>45880</v>
      </c>
      <c r="V30" s="44"/>
      <c r="W30" s="6"/>
      <c r="X30" s="6"/>
      <c r="Y30" s="87"/>
    </row>
    <row r="31" spans="1:33" s="8" customFormat="1" x14ac:dyDescent="0.25">
      <c r="A31" s="121">
        <v>28</v>
      </c>
      <c r="B31" s="122" t="s">
        <v>13</v>
      </c>
      <c r="C31" s="122" t="s">
        <v>114</v>
      </c>
      <c r="D31" s="6" t="s">
        <v>8</v>
      </c>
      <c r="E31" s="6"/>
      <c r="F31" s="6"/>
      <c r="G31" s="6"/>
      <c r="H31" s="55" t="s">
        <v>168</v>
      </c>
      <c r="I31" s="56">
        <v>30</v>
      </c>
      <c r="J31" s="74" t="s">
        <v>96</v>
      </c>
      <c r="K31" s="108" t="s">
        <v>93</v>
      </c>
      <c r="L31" s="57" t="s">
        <v>111</v>
      </c>
      <c r="M31" s="79">
        <v>45820</v>
      </c>
      <c r="N31" s="50" t="s">
        <v>93</v>
      </c>
      <c r="O31" s="24" t="s">
        <v>122</v>
      </c>
      <c r="P31" s="6" t="s">
        <v>96</v>
      </c>
      <c r="Q31" s="72">
        <v>45852</v>
      </c>
      <c r="R31" s="50" t="s">
        <v>93</v>
      </c>
      <c r="S31" s="24" t="s">
        <v>122</v>
      </c>
      <c r="T31" s="6"/>
      <c r="U31" s="72">
        <v>45873</v>
      </c>
      <c r="V31" s="44"/>
      <c r="W31" s="6"/>
      <c r="X31" s="6"/>
      <c r="Y31" s="87"/>
    </row>
    <row r="32" spans="1:33" s="37" customFormat="1" x14ac:dyDescent="0.25">
      <c r="A32" s="121">
        <v>29</v>
      </c>
      <c r="B32" s="122" t="s">
        <v>13</v>
      </c>
      <c r="C32" s="122" t="s">
        <v>16</v>
      </c>
      <c r="D32" s="93" t="s">
        <v>8</v>
      </c>
      <c r="E32" s="93"/>
      <c r="F32" s="93"/>
      <c r="G32" s="93"/>
      <c r="H32" s="97" t="s">
        <v>168</v>
      </c>
      <c r="I32" s="103">
        <v>30</v>
      </c>
      <c r="J32" s="98" t="s">
        <v>96</v>
      </c>
      <c r="K32" s="110"/>
      <c r="L32" s="99"/>
      <c r="M32" s="100"/>
      <c r="N32" s="44"/>
      <c r="O32" s="6"/>
      <c r="P32" s="6" t="s">
        <v>96</v>
      </c>
      <c r="Q32" s="53"/>
      <c r="R32" s="44"/>
      <c r="S32" s="6"/>
      <c r="T32" s="6"/>
      <c r="U32" s="53"/>
      <c r="V32" s="44"/>
      <c r="W32" s="6"/>
      <c r="X32" s="6"/>
      <c r="Y32" s="87"/>
      <c r="Z32" s="8"/>
      <c r="AA32" s="8"/>
      <c r="AB32" s="8"/>
      <c r="AC32" s="8"/>
      <c r="AD32" s="8"/>
      <c r="AE32" s="8"/>
      <c r="AF32" s="8"/>
      <c r="AG32" s="8"/>
    </row>
    <row r="33" spans="1:33" s="8" customFormat="1" x14ac:dyDescent="0.25">
      <c r="A33" s="121">
        <v>30</v>
      </c>
      <c r="B33" s="122" t="s">
        <v>13</v>
      </c>
      <c r="C33" s="122" t="s">
        <v>143</v>
      </c>
      <c r="D33" s="6" t="s">
        <v>8</v>
      </c>
      <c r="E33" s="6"/>
      <c r="F33" s="6"/>
      <c r="G33" s="6"/>
      <c r="H33" s="55" t="s">
        <v>168</v>
      </c>
      <c r="I33" s="56">
        <v>30</v>
      </c>
      <c r="J33" s="74" t="s">
        <v>8</v>
      </c>
      <c r="K33" s="108" t="s">
        <v>93</v>
      </c>
      <c r="L33" s="57" t="s">
        <v>111</v>
      </c>
      <c r="M33" s="79">
        <v>45818</v>
      </c>
      <c r="N33" s="50" t="s">
        <v>93</v>
      </c>
      <c r="O33" s="24" t="s">
        <v>111</v>
      </c>
      <c r="P33" s="24"/>
      <c r="Q33" s="126">
        <v>45848</v>
      </c>
      <c r="R33" s="50" t="s">
        <v>93</v>
      </c>
      <c r="S33" s="24" t="s">
        <v>111</v>
      </c>
      <c r="T33" s="24"/>
      <c r="U33" s="72">
        <v>45880</v>
      </c>
      <c r="V33" s="50"/>
      <c r="W33" s="24"/>
      <c r="X33" s="24"/>
      <c r="Y33" s="87"/>
    </row>
    <row r="34" spans="1:33" s="37" customFormat="1" x14ac:dyDescent="0.25">
      <c r="A34" s="121">
        <v>31</v>
      </c>
      <c r="B34" s="122" t="s">
        <v>13</v>
      </c>
      <c r="C34" s="122" t="s">
        <v>203</v>
      </c>
      <c r="D34" s="6" t="s">
        <v>8</v>
      </c>
      <c r="E34" s="6"/>
      <c r="F34" s="6"/>
      <c r="G34" s="6"/>
      <c r="H34" s="55" t="s">
        <v>168</v>
      </c>
      <c r="I34" s="56">
        <v>30</v>
      </c>
      <c r="J34" s="74" t="s">
        <v>96</v>
      </c>
      <c r="K34" s="108" t="s">
        <v>93</v>
      </c>
      <c r="L34" s="57" t="s">
        <v>111</v>
      </c>
      <c r="M34" s="79">
        <v>45819</v>
      </c>
      <c r="N34" s="50" t="s">
        <v>93</v>
      </c>
      <c r="O34" s="24" t="s">
        <v>111</v>
      </c>
      <c r="P34" s="6"/>
      <c r="Q34" s="72">
        <v>45849</v>
      </c>
      <c r="R34" s="50" t="s">
        <v>93</v>
      </c>
      <c r="S34" s="24" t="s">
        <v>111</v>
      </c>
      <c r="T34" s="6"/>
      <c r="U34" s="72">
        <v>45880</v>
      </c>
      <c r="V34" s="44"/>
      <c r="W34" s="6"/>
      <c r="X34" s="6"/>
      <c r="Y34" s="87"/>
      <c r="Z34" s="8"/>
      <c r="AA34" s="8"/>
      <c r="AB34" s="8"/>
      <c r="AC34" s="8"/>
      <c r="AD34" s="8"/>
      <c r="AE34" s="8"/>
      <c r="AF34" s="8"/>
      <c r="AG34" s="8"/>
    </row>
    <row r="35" spans="1:33" s="8" customFormat="1" x14ac:dyDescent="0.25">
      <c r="A35" s="121">
        <v>32</v>
      </c>
      <c r="B35" s="122" t="s">
        <v>13</v>
      </c>
      <c r="C35" s="122" t="s">
        <v>17</v>
      </c>
      <c r="D35" s="6" t="s">
        <v>8</v>
      </c>
      <c r="E35" s="6"/>
      <c r="F35" s="6"/>
      <c r="G35" s="6"/>
      <c r="H35" s="55" t="s">
        <v>168</v>
      </c>
      <c r="I35" s="56">
        <v>30</v>
      </c>
      <c r="J35" s="74" t="s">
        <v>96</v>
      </c>
      <c r="K35" s="108" t="s">
        <v>93</v>
      </c>
      <c r="L35" s="57" t="s">
        <v>111</v>
      </c>
      <c r="M35" s="79">
        <v>45824</v>
      </c>
      <c r="N35" s="50" t="s">
        <v>93</v>
      </c>
      <c r="O35" s="24" t="s">
        <v>111</v>
      </c>
      <c r="P35" s="6"/>
      <c r="Q35" s="72">
        <v>45853</v>
      </c>
      <c r="R35" s="44"/>
      <c r="S35" s="6"/>
      <c r="T35" s="6"/>
      <c r="U35" s="53"/>
      <c r="V35" s="44"/>
      <c r="W35" s="6"/>
      <c r="X35" s="6"/>
      <c r="Y35" s="87"/>
    </row>
    <row r="36" spans="1:33" s="8" customFormat="1" x14ac:dyDescent="0.25">
      <c r="A36" s="121">
        <v>33</v>
      </c>
      <c r="B36" s="122" t="s">
        <v>13</v>
      </c>
      <c r="C36" s="122" t="s">
        <v>18</v>
      </c>
      <c r="D36" s="6" t="s">
        <v>8</v>
      </c>
      <c r="E36" s="6"/>
      <c r="F36" s="6"/>
      <c r="G36" s="6"/>
      <c r="H36" s="55" t="s">
        <v>168</v>
      </c>
      <c r="I36" s="56">
        <v>30</v>
      </c>
      <c r="J36" s="74" t="s">
        <v>8</v>
      </c>
      <c r="K36" s="108" t="s">
        <v>93</v>
      </c>
      <c r="L36" s="57" t="s">
        <v>111</v>
      </c>
      <c r="M36" s="79">
        <v>45817</v>
      </c>
      <c r="N36" s="44" t="s">
        <v>93</v>
      </c>
      <c r="O36" s="6" t="s">
        <v>111</v>
      </c>
      <c r="P36" s="6"/>
      <c r="Q36" s="72">
        <v>45845</v>
      </c>
      <c r="R36" s="44" t="s">
        <v>93</v>
      </c>
      <c r="S36" s="6" t="s">
        <v>111</v>
      </c>
      <c r="T36" s="6"/>
      <c r="U36" s="72">
        <v>45873</v>
      </c>
      <c r="V36" s="44"/>
      <c r="W36" s="6"/>
      <c r="X36" s="6"/>
      <c r="Y36" s="87"/>
    </row>
    <row r="37" spans="1:33" s="8" customFormat="1" x14ac:dyDescent="0.25">
      <c r="A37" s="121">
        <v>34</v>
      </c>
      <c r="B37" s="122" t="s">
        <v>13</v>
      </c>
      <c r="C37" s="122" t="s">
        <v>205</v>
      </c>
      <c r="D37" s="6" t="s">
        <v>8</v>
      </c>
      <c r="E37" s="6"/>
      <c r="F37" s="6"/>
      <c r="G37" s="6"/>
      <c r="H37" s="55" t="s">
        <v>168</v>
      </c>
      <c r="I37" s="56">
        <v>30</v>
      </c>
      <c r="J37" s="74" t="s">
        <v>8</v>
      </c>
      <c r="K37" s="108" t="s">
        <v>93</v>
      </c>
      <c r="L37" s="57" t="s">
        <v>111</v>
      </c>
      <c r="M37" s="79">
        <v>45817</v>
      </c>
      <c r="N37" s="44" t="s">
        <v>93</v>
      </c>
      <c r="O37" s="6" t="s">
        <v>111</v>
      </c>
      <c r="P37" s="6"/>
      <c r="Q37" s="72">
        <v>45840</v>
      </c>
      <c r="R37" s="44" t="s">
        <v>93</v>
      </c>
      <c r="S37" s="6" t="s">
        <v>111</v>
      </c>
      <c r="T37" s="6"/>
      <c r="U37" s="72">
        <v>45874</v>
      </c>
      <c r="V37" s="44"/>
      <c r="W37" s="6"/>
      <c r="X37" s="6"/>
      <c r="Y37" s="87"/>
    </row>
    <row r="38" spans="1:33" s="8" customFormat="1" x14ac:dyDescent="0.25">
      <c r="A38" s="6">
        <v>35</v>
      </c>
      <c r="B38" s="7" t="s">
        <v>21</v>
      </c>
      <c r="C38" s="7" t="s">
        <v>6</v>
      </c>
      <c r="D38" s="99" t="s">
        <v>8</v>
      </c>
      <c r="E38" s="99"/>
      <c r="F38" s="99"/>
      <c r="G38" s="99"/>
      <c r="H38" s="97" t="s">
        <v>168</v>
      </c>
      <c r="I38" s="103">
        <v>30</v>
      </c>
      <c r="J38" s="98" t="s">
        <v>96</v>
      </c>
      <c r="K38" s="111"/>
      <c r="L38" s="93"/>
      <c r="M38" s="94"/>
      <c r="N38" s="44"/>
      <c r="O38" s="6"/>
      <c r="P38" s="6"/>
      <c r="Q38" s="53"/>
      <c r="R38" s="44"/>
      <c r="S38" s="6"/>
      <c r="T38" s="6"/>
      <c r="U38" s="53"/>
      <c r="V38" s="44"/>
      <c r="W38" s="6"/>
      <c r="X38" s="6"/>
      <c r="Y38" s="87"/>
    </row>
    <row r="39" spans="1:33" s="8" customFormat="1" x14ac:dyDescent="0.25">
      <c r="A39" s="6">
        <v>36</v>
      </c>
      <c r="B39" s="7" t="s">
        <v>146</v>
      </c>
      <c r="C39" s="7" t="s">
        <v>179</v>
      </c>
      <c r="D39" s="6" t="s">
        <v>8</v>
      </c>
      <c r="E39" s="6"/>
      <c r="F39" s="6"/>
      <c r="G39" s="6"/>
      <c r="H39" s="55" t="s">
        <v>168</v>
      </c>
      <c r="I39" s="56">
        <v>30</v>
      </c>
      <c r="J39" s="74" t="s">
        <v>8</v>
      </c>
      <c r="K39" s="108" t="s">
        <v>93</v>
      </c>
      <c r="L39" s="57" t="s">
        <v>111</v>
      </c>
      <c r="M39" s="79">
        <v>45825</v>
      </c>
      <c r="N39" s="44"/>
      <c r="O39" s="6"/>
      <c r="P39" s="6" t="s">
        <v>96</v>
      </c>
      <c r="Q39" s="53"/>
      <c r="R39" s="44"/>
      <c r="S39" s="6"/>
      <c r="T39" s="6"/>
      <c r="U39" s="53"/>
      <c r="V39" s="44"/>
      <c r="W39" s="6"/>
      <c r="X39" s="6"/>
      <c r="Y39" s="87"/>
    </row>
    <row r="40" spans="1:33" s="8" customFormat="1" x14ac:dyDescent="0.25">
      <c r="A40" s="6">
        <v>37</v>
      </c>
      <c r="B40" s="7" t="s">
        <v>83</v>
      </c>
      <c r="C40" s="7" t="s">
        <v>84</v>
      </c>
      <c r="D40" s="6" t="s">
        <v>8</v>
      </c>
      <c r="E40" s="6"/>
      <c r="F40" s="6"/>
      <c r="G40" s="6"/>
      <c r="H40" s="55" t="s">
        <v>168</v>
      </c>
      <c r="I40" s="56">
        <v>30</v>
      </c>
      <c r="J40" s="74" t="s">
        <v>8</v>
      </c>
      <c r="K40" s="108" t="s">
        <v>93</v>
      </c>
      <c r="L40" s="57" t="s">
        <v>111</v>
      </c>
      <c r="M40" s="53"/>
      <c r="N40" s="44"/>
      <c r="O40" s="6"/>
      <c r="P40" s="6"/>
      <c r="Q40" s="53"/>
      <c r="R40" s="44"/>
      <c r="S40" s="6"/>
      <c r="T40" s="6"/>
      <c r="U40" s="53"/>
      <c r="V40" s="44"/>
      <c r="W40" s="6"/>
      <c r="X40" s="6"/>
      <c r="Y40" s="87"/>
    </row>
    <row r="41" spans="1:33" s="8" customFormat="1" x14ac:dyDescent="0.25">
      <c r="A41" s="6">
        <v>38</v>
      </c>
      <c r="B41" s="7" t="s">
        <v>83</v>
      </c>
      <c r="C41" s="7" t="s">
        <v>85</v>
      </c>
      <c r="D41" s="6" t="s">
        <v>8</v>
      </c>
      <c r="E41" s="6"/>
      <c r="F41" s="6"/>
      <c r="G41" s="6"/>
      <c r="H41" s="95" t="s">
        <v>168</v>
      </c>
      <c r="I41" s="104">
        <v>30</v>
      </c>
      <c r="J41" s="96" t="s">
        <v>155</v>
      </c>
      <c r="K41" s="44"/>
      <c r="L41" s="6"/>
      <c r="M41" s="53"/>
      <c r="N41" s="44"/>
      <c r="O41" s="6"/>
      <c r="P41" s="6"/>
      <c r="Q41" s="53"/>
      <c r="R41" s="44"/>
      <c r="S41" s="6"/>
      <c r="T41" s="6"/>
      <c r="U41" s="53"/>
      <c r="V41" s="44"/>
      <c r="W41" s="6"/>
      <c r="X41" s="6"/>
      <c r="Y41" s="87"/>
    </row>
    <row r="42" spans="1:33" s="8" customFormat="1" x14ac:dyDescent="0.25">
      <c r="A42" s="6">
        <v>39</v>
      </c>
      <c r="B42" s="7" t="s">
        <v>66</v>
      </c>
      <c r="C42" s="7" t="s">
        <v>48</v>
      </c>
      <c r="D42" s="6" t="s">
        <v>8</v>
      </c>
      <c r="E42" s="6"/>
      <c r="F42" s="6"/>
      <c r="G42" s="6"/>
      <c r="H42" s="95" t="s">
        <v>168</v>
      </c>
      <c r="I42" s="104">
        <v>30</v>
      </c>
      <c r="J42" s="96" t="s">
        <v>155</v>
      </c>
      <c r="K42" s="44"/>
      <c r="L42" s="6"/>
      <c r="M42" s="53"/>
      <c r="N42" s="44"/>
      <c r="O42" s="6"/>
      <c r="P42" s="6"/>
      <c r="Q42" s="53"/>
      <c r="R42" s="44"/>
      <c r="S42" s="6"/>
      <c r="T42" s="6"/>
      <c r="U42" s="53"/>
      <c r="V42" s="44"/>
      <c r="W42" s="6"/>
      <c r="X42" s="6"/>
      <c r="Y42" s="87"/>
    </row>
    <row r="43" spans="1:33" s="8" customFormat="1" x14ac:dyDescent="0.25">
      <c r="A43" s="6">
        <v>40</v>
      </c>
      <c r="B43" s="7" t="s">
        <v>43</v>
      </c>
      <c r="C43" s="7" t="s">
        <v>44</v>
      </c>
      <c r="D43" s="6" t="s">
        <v>8</v>
      </c>
      <c r="E43" s="6"/>
      <c r="F43" s="6"/>
      <c r="G43" s="6"/>
      <c r="H43" s="95" t="s">
        <v>168</v>
      </c>
      <c r="I43" s="104">
        <v>30</v>
      </c>
      <c r="J43" s="96" t="s">
        <v>155</v>
      </c>
      <c r="K43" s="44"/>
      <c r="L43" s="6"/>
      <c r="M43" s="53"/>
      <c r="N43" s="44"/>
      <c r="O43" s="6"/>
      <c r="P43" s="6"/>
      <c r="Q43" s="53"/>
      <c r="R43" s="44"/>
      <c r="S43" s="6"/>
      <c r="T43" s="6"/>
      <c r="U43" s="53"/>
      <c r="V43" s="44"/>
      <c r="W43" s="6"/>
      <c r="X43" s="6"/>
      <c r="Y43" s="87"/>
    </row>
    <row r="44" spans="1:33" s="8" customFormat="1" x14ac:dyDescent="0.25">
      <c r="A44" s="29">
        <v>41</v>
      </c>
      <c r="B44" s="36" t="s">
        <v>22</v>
      </c>
      <c r="C44" s="36" t="s">
        <v>109</v>
      </c>
      <c r="D44" s="6" t="s">
        <v>8</v>
      </c>
      <c r="E44" s="6"/>
      <c r="F44" s="6"/>
      <c r="G44" s="6"/>
      <c r="H44" s="95" t="s">
        <v>168</v>
      </c>
      <c r="I44" s="104">
        <v>30</v>
      </c>
      <c r="J44" s="106" t="s">
        <v>155</v>
      </c>
      <c r="K44" s="44"/>
      <c r="L44" s="6"/>
      <c r="M44" s="53"/>
      <c r="N44" s="44"/>
      <c r="O44" s="6"/>
      <c r="P44" s="6"/>
      <c r="Q44" s="53"/>
      <c r="R44" s="44"/>
      <c r="S44" s="6"/>
      <c r="T44" s="6"/>
      <c r="U44" s="53"/>
      <c r="V44" s="44"/>
      <c r="W44" s="6"/>
      <c r="X44" s="6"/>
      <c r="Y44" s="87"/>
    </row>
    <row r="45" spans="1:33" s="8" customFormat="1" x14ac:dyDescent="0.25">
      <c r="A45" s="29">
        <v>42</v>
      </c>
      <c r="B45" s="36" t="s">
        <v>22</v>
      </c>
      <c r="C45" s="36" t="s">
        <v>110</v>
      </c>
      <c r="D45" s="6" t="s">
        <v>8</v>
      </c>
      <c r="E45" s="6"/>
      <c r="F45" s="6"/>
      <c r="G45" s="6"/>
      <c r="H45" s="55" t="s">
        <v>168</v>
      </c>
      <c r="I45" s="56">
        <v>30</v>
      </c>
      <c r="J45" s="74" t="s">
        <v>96</v>
      </c>
      <c r="K45" s="108" t="s">
        <v>93</v>
      </c>
      <c r="L45" s="57" t="s">
        <v>111</v>
      </c>
      <c r="M45" s="79">
        <v>45838</v>
      </c>
      <c r="N45" s="44"/>
      <c r="O45" s="6"/>
      <c r="P45" s="6" t="s">
        <v>8</v>
      </c>
      <c r="Q45" s="53"/>
      <c r="R45" s="44"/>
      <c r="S45" s="6"/>
      <c r="T45" s="6"/>
      <c r="U45" s="53"/>
      <c r="V45" s="44"/>
      <c r="W45" s="6"/>
      <c r="X45" s="6"/>
      <c r="Y45" s="87"/>
    </row>
    <row r="46" spans="1:33" s="8" customFormat="1" x14ac:dyDescent="0.25">
      <c r="A46" s="29">
        <v>43</v>
      </c>
      <c r="B46" s="36" t="s">
        <v>22</v>
      </c>
      <c r="C46" s="36" t="s">
        <v>28</v>
      </c>
      <c r="D46" s="28"/>
      <c r="E46" s="28"/>
      <c r="F46" s="28"/>
      <c r="G46" s="28"/>
      <c r="H46" s="46"/>
      <c r="I46" s="14"/>
      <c r="J46" s="75"/>
      <c r="K46" s="44"/>
      <c r="L46" s="6"/>
      <c r="M46" s="53"/>
      <c r="N46" s="44"/>
      <c r="O46" s="6"/>
      <c r="P46" s="6"/>
      <c r="Q46" s="53"/>
      <c r="R46" s="44"/>
      <c r="S46" s="6"/>
      <c r="T46" s="6"/>
      <c r="U46" s="53"/>
      <c r="V46" s="44"/>
      <c r="W46" s="6"/>
      <c r="X46" s="6"/>
      <c r="Y46" s="87"/>
    </row>
    <row r="47" spans="1:33" s="8" customFormat="1" x14ac:dyDescent="0.25">
      <c r="A47" s="29">
        <v>44</v>
      </c>
      <c r="B47" s="36" t="s">
        <v>22</v>
      </c>
      <c r="C47" s="36" t="s">
        <v>105</v>
      </c>
      <c r="D47" s="6" t="s">
        <v>8</v>
      </c>
      <c r="E47" s="6"/>
      <c r="F47" s="6"/>
      <c r="G47" s="6"/>
      <c r="H47" s="55" t="s">
        <v>168</v>
      </c>
      <c r="I47" s="56">
        <v>30</v>
      </c>
      <c r="J47" s="74" t="s">
        <v>8</v>
      </c>
      <c r="K47" s="108" t="s">
        <v>93</v>
      </c>
      <c r="L47" s="57" t="s">
        <v>102</v>
      </c>
      <c r="M47" s="79">
        <v>45814</v>
      </c>
      <c r="N47" s="44" t="s">
        <v>93</v>
      </c>
      <c r="O47" s="6" t="s">
        <v>102</v>
      </c>
      <c r="P47" s="6"/>
      <c r="Q47" s="72">
        <v>45847</v>
      </c>
      <c r="R47" s="44"/>
      <c r="S47" s="6"/>
      <c r="T47" s="6"/>
      <c r="U47" s="53"/>
      <c r="V47" s="44"/>
      <c r="W47" s="6"/>
      <c r="X47" s="6"/>
      <c r="Y47" s="87"/>
    </row>
    <row r="48" spans="1:33" s="8" customFormat="1" x14ac:dyDescent="0.25">
      <c r="A48" s="29">
        <v>45</v>
      </c>
      <c r="B48" s="36" t="s">
        <v>22</v>
      </c>
      <c r="C48" s="124" t="s">
        <v>120</v>
      </c>
      <c r="D48" s="6" t="s">
        <v>8</v>
      </c>
      <c r="E48" s="6"/>
      <c r="F48" s="6"/>
      <c r="G48" s="6"/>
      <c r="H48" s="55" t="s">
        <v>168</v>
      </c>
      <c r="I48" s="56">
        <v>30</v>
      </c>
      <c r="J48" s="74" t="s">
        <v>96</v>
      </c>
      <c r="K48" s="108" t="s">
        <v>93</v>
      </c>
      <c r="L48" s="57" t="s">
        <v>111</v>
      </c>
      <c r="M48" s="79">
        <v>45824</v>
      </c>
      <c r="N48" s="44" t="s">
        <v>93</v>
      </c>
      <c r="O48" s="6" t="s">
        <v>102</v>
      </c>
      <c r="P48" s="6" t="s">
        <v>96</v>
      </c>
      <c r="Q48" s="72">
        <v>45852</v>
      </c>
      <c r="R48" s="44"/>
      <c r="S48" s="6"/>
      <c r="T48" s="6"/>
      <c r="U48" s="53"/>
      <c r="V48" s="44"/>
      <c r="W48" s="6"/>
      <c r="X48" s="6"/>
      <c r="Y48" s="87"/>
    </row>
    <row r="49" spans="1:33" s="8" customFormat="1" x14ac:dyDescent="0.25">
      <c r="A49" s="29">
        <v>46</v>
      </c>
      <c r="B49" s="36" t="s">
        <v>22</v>
      </c>
      <c r="C49" s="36" t="s">
        <v>204</v>
      </c>
      <c r="D49" s="6" t="s">
        <v>8</v>
      </c>
      <c r="E49" s="6"/>
      <c r="F49" s="6"/>
      <c r="G49" s="6"/>
      <c r="H49" s="46" t="s">
        <v>170</v>
      </c>
      <c r="I49" s="14">
        <v>30</v>
      </c>
      <c r="J49" s="75" t="s">
        <v>96</v>
      </c>
      <c r="K49" s="44" t="s">
        <v>93</v>
      </c>
      <c r="L49" s="6" t="s">
        <v>102</v>
      </c>
      <c r="M49" s="53"/>
      <c r="N49" s="44" t="s">
        <v>93</v>
      </c>
      <c r="O49" s="6" t="s">
        <v>102</v>
      </c>
      <c r="P49" s="6" t="s">
        <v>8</v>
      </c>
      <c r="Q49" s="72">
        <v>45848</v>
      </c>
      <c r="R49" s="44" t="s">
        <v>93</v>
      </c>
      <c r="S49" s="6" t="s">
        <v>102</v>
      </c>
      <c r="T49" s="6"/>
      <c r="U49" s="72">
        <v>45873</v>
      </c>
      <c r="V49" s="44"/>
      <c r="W49" s="6"/>
      <c r="X49" s="6"/>
      <c r="Y49" s="87"/>
    </row>
    <row r="50" spans="1:33" s="8" customFormat="1" x14ac:dyDescent="0.25">
      <c r="A50" s="29">
        <v>47</v>
      </c>
      <c r="B50" s="36" t="s">
        <v>22</v>
      </c>
      <c r="C50" s="36" t="s">
        <v>126</v>
      </c>
      <c r="D50" s="6" t="s">
        <v>8</v>
      </c>
      <c r="E50" s="6"/>
      <c r="F50" s="6"/>
      <c r="G50" s="6"/>
      <c r="H50" s="55" t="s">
        <v>168</v>
      </c>
      <c r="I50" s="56">
        <v>30</v>
      </c>
      <c r="J50" s="74" t="s">
        <v>96</v>
      </c>
      <c r="K50" s="108" t="s">
        <v>93</v>
      </c>
      <c r="L50" s="57" t="s">
        <v>111</v>
      </c>
      <c r="M50" s="79">
        <v>45834</v>
      </c>
      <c r="N50" s="44"/>
      <c r="O50" s="6"/>
      <c r="P50" s="6" t="s">
        <v>96</v>
      </c>
      <c r="Q50" s="53"/>
      <c r="R50" s="44"/>
      <c r="S50" s="6"/>
      <c r="T50" s="6"/>
      <c r="U50" s="53"/>
      <c r="V50" s="44"/>
      <c r="W50" s="6"/>
      <c r="X50" s="6"/>
      <c r="Y50" s="87"/>
    </row>
    <row r="51" spans="1:33" s="8" customFormat="1" x14ac:dyDescent="0.25">
      <c r="A51" s="29">
        <v>48</v>
      </c>
      <c r="B51" s="36" t="s">
        <v>22</v>
      </c>
      <c r="C51" s="36" t="s">
        <v>40</v>
      </c>
      <c r="D51" s="6" t="s">
        <v>8</v>
      </c>
      <c r="E51" s="6"/>
      <c r="F51" s="6"/>
      <c r="G51" s="6"/>
      <c r="H51" s="46" t="s">
        <v>170</v>
      </c>
      <c r="I51" s="14">
        <v>30</v>
      </c>
      <c r="J51" s="75" t="s">
        <v>96</v>
      </c>
      <c r="K51" s="44"/>
      <c r="L51" s="6"/>
      <c r="M51" s="53"/>
      <c r="N51" s="44" t="s">
        <v>138</v>
      </c>
      <c r="O51" s="6" t="s">
        <v>102</v>
      </c>
      <c r="P51" s="6"/>
      <c r="Q51" s="72">
        <v>45845</v>
      </c>
      <c r="R51" s="44"/>
      <c r="S51" s="6"/>
      <c r="T51" s="6"/>
      <c r="U51" s="53"/>
      <c r="V51" s="44"/>
      <c r="W51" s="6"/>
      <c r="X51" s="6"/>
      <c r="Y51" s="87"/>
    </row>
    <row r="52" spans="1:33" s="8" customFormat="1" x14ac:dyDescent="0.25">
      <c r="A52" s="29">
        <v>49</v>
      </c>
      <c r="B52" s="36" t="s">
        <v>22</v>
      </c>
      <c r="C52" s="36" t="s">
        <v>42</v>
      </c>
      <c r="D52" s="6" t="s">
        <v>8</v>
      </c>
      <c r="E52" s="6"/>
      <c r="F52" s="6"/>
      <c r="G52" s="6"/>
      <c r="H52" s="55" t="s">
        <v>168</v>
      </c>
      <c r="I52" s="56">
        <v>30</v>
      </c>
      <c r="J52" s="74" t="s">
        <v>8</v>
      </c>
      <c r="K52" s="108" t="s">
        <v>93</v>
      </c>
      <c r="L52" s="57" t="s">
        <v>111</v>
      </c>
      <c r="M52" s="79">
        <v>45818</v>
      </c>
      <c r="N52" s="44" t="s">
        <v>138</v>
      </c>
      <c r="O52" s="6" t="s">
        <v>102</v>
      </c>
      <c r="P52" s="6" t="s">
        <v>96</v>
      </c>
      <c r="Q52" s="72">
        <v>45853</v>
      </c>
      <c r="R52" s="44"/>
      <c r="S52" s="6"/>
      <c r="T52" s="6"/>
      <c r="U52" s="53"/>
      <c r="V52" s="44"/>
      <c r="W52" s="6"/>
      <c r="X52" s="6"/>
      <c r="Y52" s="87"/>
    </row>
    <row r="53" spans="1:33" s="8" customFormat="1" x14ac:dyDescent="0.25">
      <c r="A53" s="29">
        <v>50</v>
      </c>
      <c r="B53" s="36" t="s">
        <v>22</v>
      </c>
      <c r="C53" s="36" t="s">
        <v>54</v>
      </c>
      <c r="D53" s="6" t="s">
        <v>8</v>
      </c>
      <c r="E53" s="6"/>
      <c r="F53" s="6"/>
      <c r="G53" s="6"/>
      <c r="H53" s="55" t="s">
        <v>168</v>
      </c>
      <c r="I53" s="56">
        <v>30</v>
      </c>
      <c r="J53" s="74" t="s">
        <v>96</v>
      </c>
      <c r="K53" s="108" t="s">
        <v>93</v>
      </c>
      <c r="L53" s="57" t="s">
        <v>111</v>
      </c>
      <c r="M53" s="79">
        <v>45814</v>
      </c>
      <c r="N53" s="44" t="s">
        <v>138</v>
      </c>
      <c r="O53" s="6" t="s">
        <v>102</v>
      </c>
      <c r="P53" s="6" t="s">
        <v>96</v>
      </c>
      <c r="Q53" s="72">
        <v>45859</v>
      </c>
      <c r="R53" s="44"/>
      <c r="S53" s="6"/>
      <c r="T53" s="6"/>
      <c r="U53" s="53"/>
      <c r="V53" s="44"/>
      <c r="W53" s="6"/>
      <c r="X53" s="6"/>
      <c r="Y53" s="87"/>
    </row>
    <row r="54" spans="1:33" customFormat="1" x14ac:dyDescent="0.25">
      <c r="A54" s="29">
        <v>51</v>
      </c>
      <c r="B54" s="36" t="s">
        <v>22</v>
      </c>
      <c r="C54" s="36" t="s">
        <v>164</v>
      </c>
      <c r="D54" s="6" t="s">
        <v>8</v>
      </c>
      <c r="E54" s="6"/>
      <c r="F54" s="6"/>
      <c r="G54" s="6"/>
      <c r="H54" s="46" t="s">
        <v>170</v>
      </c>
      <c r="I54" s="14">
        <v>30</v>
      </c>
      <c r="J54" s="75" t="s">
        <v>96</v>
      </c>
      <c r="K54" s="44" t="s">
        <v>93</v>
      </c>
      <c r="L54" s="6" t="s">
        <v>122</v>
      </c>
      <c r="M54" s="53"/>
      <c r="N54" s="44" t="s">
        <v>93</v>
      </c>
      <c r="O54" s="6" t="s">
        <v>122</v>
      </c>
      <c r="P54" s="6" t="s">
        <v>96</v>
      </c>
      <c r="Q54" s="72">
        <v>45852</v>
      </c>
      <c r="R54" s="44"/>
      <c r="S54" s="6"/>
      <c r="T54" s="6"/>
      <c r="U54" s="53"/>
      <c r="V54" s="44"/>
      <c r="W54" s="6"/>
      <c r="X54" s="6"/>
      <c r="Y54" s="87"/>
      <c r="Z54" s="8"/>
      <c r="AA54" s="8"/>
      <c r="AB54" s="8"/>
      <c r="AC54" s="8"/>
      <c r="AD54" s="8"/>
      <c r="AE54" s="8"/>
      <c r="AF54" s="8"/>
      <c r="AG54" s="8"/>
    </row>
    <row r="55" spans="1:33" customFormat="1" x14ac:dyDescent="0.25">
      <c r="A55" s="29">
        <v>52</v>
      </c>
      <c r="B55" s="125" t="s">
        <v>22</v>
      </c>
      <c r="C55" s="125" t="s">
        <v>197</v>
      </c>
      <c r="D55" s="39" t="s">
        <v>8</v>
      </c>
      <c r="E55" s="39"/>
      <c r="F55" s="39"/>
      <c r="G55" s="39"/>
      <c r="H55" s="92" t="s">
        <v>168</v>
      </c>
      <c r="I55" s="101">
        <v>30</v>
      </c>
      <c r="J55" s="76" t="s">
        <v>8</v>
      </c>
      <c r="K55" s="109" t="s">
        <v>93</v>
      </c>
      <c r="L55" s="63" t="s">
        <v>102</v>
      </c>
      <c r="M55" s="81">
        <v>45817</v>
      </c>
      <c r="N55" s="44"/>
      <c r="O55" s="6"/>
      <c r="P55" s="6"/>
      <c r="Q55" s="53"/>
      <c r="R55" s="44"/>
      <c r="S55" s="6"/>
      <c r="T55" s="6"/>
      <c r="U55" s="53"/>
      <c r="V55" s="44"/>
      <c r="W55" s="6"/>
      <c r="X55" s="6"/>
      <c r="Y55" s="87"/>
      <c r="Z55" s="8"/>
      <c r="AA55" s="8"/>
      <c r="AB55" s="8"/>
      <c r="AC55" s="8"/>
      <c r="AD55" s="8"/>
      <c r="AE55" s="8"/>
      <c r="AF55" s="8"/>
      <c r="AG55" s="8"/>
    </row>
    <row r="56" spans="1:33" s="8" customFormat="1" x14ac:dyDescent="0.25">
      <c r="A56" s="29">
        <v>53</v>
      </c>
      <c r="B56" s="36" t="s">
        <v>22</v>
      </c>
      <c r="C56" s="36" t="s">
        <v>147</v>
      </c>
      <c r="D56" s="6" t="s">
        <v>8</v>
      </c>
      <c r="E56" s="6"/>
      <c r="F56" s="6"/>
      <c r="G56" s="6"/>
      <c r="H56" s="46" t="s">
        <v>170</v>
      </c>
      <c r="I56" s="14">
        <v>30</v>
      </c>
      <c r="J56" s="75" t="s">
        <v>155</v>
      </c>
      <c r="K56" s="44"/>
      <c r="L56" s="6"/>
      <c r="M56" s="53"/>
      <c r="N56" s="44" t="s">
        <v>93</v>
      </c>
      <c r="O56" s="6" t="s">
        <v>122</v>
      </c>
      <c r="P56" s="6"/>
      <c r="Q56" s="72">
        <v>45860</v>
      </c>
      <c r="R56" s="44" t="s">
        <v>93</v>
      </c>
      <c r="S56" s="6" t="s">
        <v>122</v>
      </c>
      <c r="T56" s="6"/>
      <c r="U56" s="72">
        <v>45879</v>
      </c>
      <c r="V56" s="44"/>
      <c r="W56" s="6"/>
      <c r="X56" s="6"/>
      <c r="Y56" s="87"/>
    </row>
    <row r="57" spans="1:33" s="8" customFormat="1" x14ac:dyDescent="0.25">
      <c r="A57" s="6">
        <v>54</v>
      </c>
      <c r="B57" s="7" t="s">
        <v>129</v>
      </c>
      <c r="C57" s="7" t="s">
        <v>130</v>
      </c>
      <c r="D57" s="6" t="s">
        <v>8</v>
      </c>
      <c r="E57" s="6"/>
      <c r="F57" s="6"/>
      <c r="G57" s="6"/>
      <c r="H57" s="46" t="s">
        <v>170</v>
      </c>
      <c r="I57" s="14">
        <v>30</v>
      </c>
      <c r="J57" s="75" t="s">
        <v>96</v>
      </c>
      <c r="K57" s="44"/>
      <c r="L57" s="6"/>
      <c r="M57" s="53"/>
      <c r="N57" s="44" t="s">
        <v>138</v>
      </c>
      <c r="O57" s="6" t="s">
        <v>102</v>
      </c>
      <c r="P57" s="6"/>
      <c r="Q57" s="72">
        <v>45845</v>
      </c>
      <c r="R57" s="44" t="s">
        <v>93</v>
      </c>
      <c r="S57" s="6" t="s">
        <v>122</v>
      </c>
      <c r="T57" s="6"/>
      <c r="U57" s="72">
        <v>45876</v>
      </c>
      <c r="V57" s="44"/>
      <c r="W57" s="6"/>
      <c r="X57" s="6"/>
      <c r="Y57" s="87"/>
    </row>
    <row r="58" spans="1:33" s="8" customFormat="1" x14ac:dyDescent="0.25">
      <c r="A58" s="6">
        <v>55</v>
      </c>
      <c r="B58" s="7" t="s">
        <v>129</v>
      </c>
      <c r="C58" s="7" t="s">
        <v>134</v>
      </c>
      <c r="D58" s="6" t="s">
        <v>8</v>
      </c>
      <c r="E58" s="6"/>
      <c r="F58" s="6"/>
      <c r="G58" s="6"/>
      <c r="H58" s="55" t="s">
        <v>168</v>
      </c>
      <c r="I58" s="56">
        <v>30</v>
      </c>
      <c r="J58" s="107" t="s">
        <v>96</v>
      </c>
      <c r="K58" s="108" t="s">
        <v>93</v>
      </c>
      <c r="L58" s="57" t="s">
        <v>111</v>
      </c>
      <c r="M58" s="79">
        <v>45838</v>
      </c>
      <c r="N58" s="44"/>
      <c r="O58" s="6"/>
      <c r="P58" s="6" t="s">
        <v>96</v>
      </c>
      <c r="Q58" s="53"/>
      <c r="R58" s="44"/>
      <c r="S58" s="6"/>
      <c r="T58" s="6"/>
      <c r="U58" s="53"/>
      <c r="V58" s="44"/>
      <c r="W58" s="6"/>
      <c r="X58" s="6"/>
      <c r="Y58" s="87"/>
    </row>
    <row r="59" spans="1:33" s="8" customFormat="1" x14ac:dyDescent="0.25">
      <c r="A59" s="6">
        <v>56</v>
      </c>
      <c r="B59" s="7" t="s">
        <v>92</v>
      </c>
      <c r="C59" s="7" t="s">
        <v>112</v>
      </c>
      <c r="D59" s="6" t="s">
        <v>8</v>
      </c>
      <c r="E59" s="6"/>
      <c r="F59" s="6"/>
      <c r="G59" s="6"/>
      <c r="H59" s="55" t="s">
        <v>168</v>
      </c>
      <c r="I59" s="56">
        <v>30</v>
      </c>
      <c r="J59" s="74" t="s">
        <v>8</v>
      </c>
      <c r="K59" s="108" t="s">
        <v>93</v>
      </c>
      <c r="L59" s="57" t="s">
        <v>111</v>
      </c>
      <c r="M59" s="79">
        <v>45818</v>
      </c>
      <c r="N59" s="44" t="s">
        <v>138</v>
      </c>
      <c r="O59" s="6" t="s">
        <v>102</v>
      </c>
      <c r="P59" s="6"/>
      <c r="Q59" s="72">
        <v>45845</v>
      </c>
      <c r="R59" s="44" t="s">
        <v>138</v>
      </c>
      <c r="S59" s="6" t="s">
        <v>102</v>
      </c>
      <c r="T59" s="6"/>
      <c r="U59" s="72">
        <v>45873</v>
      </c>
      <c r="V59" s="44"/>
      <c r="W59" s="6"/>
      <c r="X59" s="6"/>
      <c r="Y59" s="87"/>
    </row>
    <row r="60" spans="1:33" s="8" customFormat="1" x14ac:dyDescent="0.25">
      <c r="A60" s="6">
        <v>57</v>
      </c>
      <c r="B60" s="7" t="s">
        <v>50</v>
      </c>
      <c r="C60" s="7" t="s">
        <v>51</v>
      </c>
      <c r="D60" s="6" t="s">
        <v>8</v>
      </c>
      <c r="E60" s="6"/>
      <c r="F60" s="6"/>
      <c r="G60" s="6"/>
      <c r="H60" s="95" t="s">
        <v>168</v>
      </c>
      <c r="I60" s="104">
        <v>30</v>
      </c>
      <c r="J60" s="96" t="s">
        <v>155</v>
      </c>
      <c r="K60" s="44"/>
      <c r="L60" s="6"/>
      <c r="M60" s="53"/>
      <c r="N60" s="44"/>
      <c r="O60" s="6"/>
      <c r="P60" s="6"/>
      <c r="Q60" s="53"/>
      <c r="R60" s="44"/>
      <c r="S60" s="6"/>
      <c r="T60" s="6"/>
      <c r="U60" s="53"/>
      <c r="V60" s="44"/>
      <c r="W60" s="6"/>
      <c r="X60" s="6"/>
      <c r="Y60" s="87"/>
    </row>
    <row r="61" spans="1:33" s="8" customFormat="1" x14ac:dyDescent="0.25">
      <c r="A61" s="6">
        <v>58</v>
      </c>
      <c r="B61" s="7" t="s">
        <v>67</v>
      </c>
      <c r="C61" s="7" t="s">
        <v>68</v>
      </c>
      <c r="D61" s="6" t="s">
        <v>8</v>
      </c>
      <c r="E61" s="6"/>
      <c r="F61" s="6"/>
      <c r="G61" s="6"/>
      <c r="H61" s="55" t="s">
        <v>168</v>
      </c>
      <c r="I61" s="56">
        <v>30</v>
      </c>
      <c r="J61" s="74" t="s">
        <v>8</v>
      </c>
      <c r="K61" s="108" t="s">
        <v>93</v>
      </c>
      <c r="L61" s="57" t="s">
        <v>102</v>
      </c>
      <c r="M61" s="79">
        <v>45811</v>
      </c>
      <c r="N61" s="44" t="s">
        <v>138</v>
      </c>
      <c r="O61" s="6" t="s">
        <v>102</v>
      </c>
      <c r="P61" s="6" t="s">
        <v>96</v>
      </c>
      <c r="Q61" s="72">
        <v>45863</v>
      </c>
      <c r="R61" s="44" t="s">
        <v>138</v>
      </c>
      <c r="S61" s="6" t="s">
        <v>102</v>
      </c>
      <c r="T61" s="6"/>
      <c r="U61" s="72">
        <v>45863</v>
      </c>
      <c r="V61" s="44"/>
      <c r="W61" s="6"/>
      <c r="X61" s="6"/>
      <c r="Y61" s="87"/>
    </row>
    <row r="62" spans="1:33" customFormat="1" x14ac:dyDescent="0.25">
      <c r="A62" s="6">
        <v>59</v>
      </c>
      <c r="B62" s="7" t="s">
        <v>20</v>
      </c>
      <c r="C62" s="7" t="s">
        <v>27</v>
      </c>
      <c r="D62" s="6" t="s">
        <v>8</v>
      </c>
      <c r="E62" s="6"/>
      <c r="F62" s="6"/>
      <c r="G62" s="6"/>
      <c r="H62" s="55" t="s">
        <v>168</v>
      </c>
      <c r="I62" s="56">
        <v>30</v>
      </c>
      <c r="J62" s="74" t="s">
        <v>8</v>
      </c>
      <c r="K62" s="108" t="s">
        <v>93</v>
      </c>
      <c r="L62" s="57" t="s">
        <v>98</v>
      </c>
      <c r="M62" s="80">
        <v>45814</v>
      </c>
      <c r="N62" s="44"/>
      <c r="O62" s="6"/>
      <c r="P62" s="6"/>
      <c r="Q62" s="53"/>
      <c r="R62" s="44"/>
      <c r="S62" s="6"/>
      <c r="T62" s="6"/>
      <c r="U62" s="53"/>
      <c r="V62" s="44"/>
      <c r="W62" s="6"/>
      <c r="X62" s="6"/>
      <c r="Y62" s="87"/>
      <c r="Z62" s="8"/>
      <c r="AA62" s="8"/>
      <c r="AB62" s="8"/>
      <c r="AC62" s="8"/>
      <c r="AD62" s="8"/>
      <c r="AE62" s="8"/>
      <c r="AF62" s="8"/>
      <c r="AG62" s="8"/>
    </row>
    <row r="63" spans="1:33" s="8" customFormat="1" x14ac:dyDescent="0.25">
      <c r="A63" s="6">
        <v>60</v>
      </c>
      <c r="B63" s="7" t="s">
        <v>20</v>
      </c>
      <c r="C63" s="7" t="s">
        <v>113</v>
      </c>
      <c r="D63" s="6" t="s">
        <v>8</v>
      </c>
      <c r="E63" s="6"/>
      <c r="F63" s="6"/>
      <c r="G63" s="6"/>
      <c r="H63" s="55" t="s">
        <v>168</v>
      </c>
      <c r="I63" s="56">
        <v>30</v>
      </c>
      <c r="J63" s="74" t="s">
        <v>96</v>
      </c>
      <c r="K63" s="108" t="s">
        <v>93</v>
      </c>
      <c r="L63" s="57" t="s">
        <v>111</v>
      </c>
      <c r="M63" s="79">
        <v>45820</v>
      </c>
      <c r="N63" s="44" t="s">
        <v>138</v>
      </c>
      <c r="O63" s="6" t="s">
        <v>102</v>
      </c>
      <c r="P63" s="6"/>
      <c r="Q63" s="72">
        <v>45848</v>
      </c>
      <c r="R63" s="44" t="s">
        <v>138</v>
      </c>
      <c r="S63" s="6" t="s">
        <v>102</v>
      </c>
      <c r="T63" s="6"/>
      <c r="U63" s="72">
        <v>45848</v>
      </c>
      <c r="V63" s="44"/>
      <c r="W63" s="6"/>
      <c r="X63" s="6"/>
      <c r="Y63" s="87"/>
    </row>
    <row r="64" spans="1:33" s="8" customFormat="1" x14ac:dyDescent="0.25">
      <c r="A64" s="6">
        <v>61</v>
      </c>
      <c r="B64" s="7" t="s">
        <v>131</v>
      </c>
      <c r="C64" s="7" t="s">
        <v>132</v>
      </c>
      <c r="D64" s="6" t="s">
        <v>8</v>
      </c>
      <c r="E64" s="6"/>
      <c r="F64" s="6"/>
      <c r="G64" s="6"/>
      <c r="H64" s="46" t="s">
        <v>170</v>
      </c>
      <c r="I64" s="14">
        <v>30</v>
      </c>
      <c r="J64" s="75" t="s">
        <v>96</v>
      </c>
      <c r="K64" s="44"/>
      <c r="L64" s="6"/>
      <c r="M64" s="53"/>
      <c r="N64" s="44" t="s">
        <v>138</v>
      </c>
      <c r="O64" s="6" t="s">
        <v>102</v>
      </c>
      <c r="P64" s="6"/>
      <c r="Q64" s="72">
        <v>45845</v>
      </c>
      <c r="R64" s="44" t="s">
        <v>138</v>
      </c>
      <c r="S64" s="6" t="s">
        <v>102</v>
      </c>
      <c r="T64" s="6"/>
      <c r="U64" s="72">
        <v>45875</v>
      </c>
      <c r="V64" s="44"/>
      <c r="W64" s="6"/>
      <c r="X64" s="6"/>
      <c r="Y64" s="87"/>
    </row>
    <row r="65" spans="1:25" s="8" customFormat="1" x14ac:dyDescent="0.25">
      <c r="A65" s="6">
        <v>62</v>
      </c>
      <c r="B65" s="7" t="s">
        <v>41</v>
      </c>
      <c r="C65" s="7" t="s">
        <v>128</v>
      </c>
      <c r="D65" s="6" t="s">
        <v>8</v>
      </c>
      <c r="E65" s="6"/>
      <c r="F65" s="6"/>
      <c r="G65" s="6"/>
      <c r="H65" s="55" t="s">
        <v>168</v>
      </c>
      <c r="I65" s="56">
        <v>30</v>
      </c>
      <c r="J65" s="74" t="s">
        <v>96</v>
      </c>
      <c r="K65" s="108" t="s">
        <v>93</v>
      </c>
      <c r="L65" s="57" t="s">
        <v>111</v>
      </c>
      <c r="M65" s="79">
        <v>45831</v>
      </c>
      <c r="N65" s="44" t="s">
        <v>138</v>
      </c>
      <c r="O65" s="6" t="s">
        <v>102</v>
      </c>
      <c r="P65" s="6" t="s">
        <v>156</v>
      </c>
      <c r="Q65" s="72">
        <v>45854</v>
      </c>
      <c r="R65" s="44"/>
      <c r="S65" s="6"/>
      <c r="T65" s="6"/>
      <c r="U65" s="53"/>
      <c r="V65" s="44"/>
      <c r="W65" s="6"/>
      <c r="X65" s="6"/>
      <c r="Y65" s="87"/>
    </row>
    <row r="66" spans="1:25" s="8" customFormat="1" x14ac:dyDescent="0.25">
      <c r="A66" s="6">
        <v>63</v>
      </c>
      <c r="B66" s="7" t="s">
        <v>69</v>
      </c>
      <c r="C66" s="7" t="s">
        <v>127</v>
      </c>
      <c r="D66" s="6" t="s">
        <v>8</v>
      </c>
      <c r="E66" s="6"/>
      <c r="F66" s="6"/>
      <c r="G66" s="6"/>
      <c r="H66" s="55" t="s">
        <v>168</v>
      </c>
      <c r="I66" s="56">
        <v>30</v>
      </c>
      <c r="J66" s="74" t="s">
        <v>96</v>
      </c>
      <c r="K66" s="108" t="s">
        <v>93</v>
      </c>
      <c r="L66" s="57" t="s">
        <v>111</v>
      </c>
      <c r="M66" s="79">
        <v>45833</v>
      </c>
      <c r="N66" s="44" t="s">
        <v>138</v>
      </c>
      <c r="O66" s="6" t="s">
        <v>102</v>
      </c>
      <c r="P66" s="6"/>
      <c r="Q66" s="72">
        <v>45845</v>
      </c>
      <c r="R66" s="44" t="s">
        <v>138</v>
      </c>
      <c r="S66" s="6" t="s">
        <v>102</v>
      </c>
      <c r="T66" s="6"/>
      <c r="U66" s="72">
        <v>45877</v>
      </c>
      <c r="V66" s="44"/>
      <c r="W66" s="6"/>
      <c r="X66" s="6"/>
      <c r="Y66" s="87"/>
    </row>
    <row r="67" spans="1:25" s="8" customFormat="1" x14ac:dyDescent="0.25">
      <c r="A67" s="6">
        <v>64</v>
      </c>
      <c r="B67" s="7" t="s">
        <v>148</v>
      </c>
      <c r="C67" s="7" t="s">
        <v>149</v>
      </c>
      <c r="D67" s="6" t="s">
        <v>8</v>
      </c>
      <c r="E67" s="6"/>
      <c r="F67" s="6"/>
      <c r="G67" s="6"/>
      <c r="H67" s="46" t="s">
        <v>170</v>
      </c>
      <c r="I67" s="14">
        <v>30</v>
      </c>
      <c r="J67" s="75" t="s">
        <v>155</v>
      </c>
      <c r="K67" s="44"/>
      <c r="L67" s="6"/>
      <c r="M67" s="53"/>
      <c r="N67" s="44"/>
      <c r="O67" s="6"/>
      <c r="P67" s="6"/>
      <c r="Q67" s="53"/>
      <c r="R67" s="44"/>
      <c r="S67" s="6"/>
      <c r="T67" s="6"/>
      <c r="U67" s="53"/>
      <c r="V67" s="44"/>
      <c r="W67" s="6"/>
      <c r="X67" s="6"/>
      <c r="Y67" s="87"/>
    </row>
    <row r="68" spans="1:25" s="8" customFormat="1" x14ac:dyDescent="0.25">
      <c r="A68" s="6">
        <v>65</v>
      </c>
      <c r="B68" s="7" t="s">
        <v>70</v>
      </c>
      <c r="C68" s="7" t="s">
        <v>7</v>
      </c>
      <c r="D68" s="6" t="s">
        <v>8</v>
      </c>
      <c r="E68" s="6"/>
      <c r="F68" s="6"/>
      <c r="G68" s="6"/>
      <c r="H68" s="55" t="s">
        <v>168</v>
      </c>
      <c r="I68" s="56">
        <v>30</v>
      </c>
      <c r="J68" s="74" t="s">
        <v>8</v>
      </c>
      <c r="K68" s="108" t="s">
        <v>93</v>
      </c>
      <c r="L68" s="57" t="s">
        <v>102</v>
      </c>
      <c r="M68" s="79">
        <v>45814</v>
      </c>
      <c r="N68" s="44" t="s">
        <v>138</v>
      </c>
      <c r="O68" s="6" t="s">
        <v>102</v>
      </c>
      <c r="P68" s="6"/>
      <c r="Q68" s="72">
        <v>45846</v>
      </c>
      <c r="R68" s="44" t="s">
        <v>138</v>
      </c>
      <c r="S68" s="6" t="s">
        <v>102</v>
      </c>
      <c r="T68" s="6"/>
      <c r="U68" s="72">
        <v>45873</v>
      </c>
      <c r="V68" s="44"/>
      <c r="W68" s="6"/>
      <c r="X68" s="6"/>
      <c r="Y68" s="87"/>
    </row>
    <row r="69" spans="1:25" s="8" customFormat="1" x14ac:dyDescent="0.25">
      <c r="A69" s="6">
        <v>66</v>
      </c>
      <c r="B69" s="7" t="s">
        <v>30</v>
      </c>
      <c r="C69" s="7" t="s">
        <v>163</v>
      </c>
      <c r="D69" s="6" t="s">
        <v>8</v>
      </c>
      <c r="E69" s="6"/>
      <c r="F69" s="6"/>
      <c r="G69" s="6"/>
      <c r="H69" s="55" t="s">
        <v>168</v>
      </c>
      <c r="I69" s="56">
        <v>30</v>
      </c>
      <c r="J69" s="74" t="s">
        <v>8</v>
      </c>
      <c r="K69" s="108" t="s">
        <v>93</v>
      </c>
      <c r="L69" s="57" t="s">
        <v>111</v>
      </c>
      <c r="M69" s="91"/>
      <c r="N69" s="44" t="s">
        <v>138</v>
      </c>
      <c r="O69" s="6" t="s">
        <v>102</v>
      </c>
      <c r="P69" s="6" t="s">
        <v>96</v>
      </c>
      <c r="Q69" s="72">
        <v>45860</v>
      </c>
      <c r="R69" s="44" t="s">
        <v>138</v>
      </c>
      <c r="S69" s="6" t="s">
        <v>102</v>
      </c>
      <c r="T69" s="6"/>
      <c r="U69" s="53"/>
      <c r="V69" s="44"/>
      <c r="W69" s="6"/>
      <c r="X69" s="6"/>
      <c r="Y69" s="87"/>
    </row>
    <row r="70" spans="1:25" s="8" customFormat="1" x14ac:dyDescent="0.25">
      <c r="A70" s="6">
        <v>67</v>
      </c>
      <c r="B70" s="7" t="s">
        <v>71</v>
      </c>
      <c r="C70" s="7" t="s">
        <v>72</v>
      </c>
      <c r="D70" s="6" t="s">
        <v>8</v>
      </c>
      <c r="E70" s="6"/>
      <c r="F70" s="6"/>
      <c r="G70" s="6"/>
      <c r="H70" s="97" t="s">
        <v>168</v>
      </c>
      <c r="I70" s="103">
        <v>30</v>
      </c>
      <c r="J70" s="98" t="s">
        <v>155</v>
      </c>
      <c r="K70" s="44"/>
      <c r="L70" s="6"/>
      <c r="M70" s="53"/>
      <c r="N70" s="44"/>
      <c r="O70" s="6"/>
      <c r="P70" s="6"/>
      <c r="Q70" s="53"/>
      <c r="R70" s="44"/>
      <c r="S70" s="6"/>
      <c r="T70" s="6"/>
      <c r="U70" s="53"/>
      <c r="V70" s="44"/>
      <c r="W70" s="6"/>
      <c r="X70" s="6"/>
      <c r="Y70" s="87"/>
    </row>
    <row r="71" spans="1:25" s="8" customFormat="1" x14ac:dyDescent="0.25">
      <c r="A71" s="6">
        <v>68</v>
      </c>
      <c r="B71" s="7" t="s">
        <v>121</v>
      </c>
      <c r="C71" s="38" t="s">
        <v>196</v>
      </c>
      <c r="D71" s="6" t="s">
        <v>8</v>
      </c>
      <c r="E71" s="6"/>
      <c r="F71" s="6"/>
      <c r="G71" s="6"/>
      <c r="H71" s="92" t="s">
        <v>168</v>
      </c>
      <c r="I71" s="101">
        <v>30</v>
      </c>
      <c r="J71" s="76" t="s">
        <v>8</v>
      </c>
      <c r="K71" s="109" t="s">
        <v>93</v>
      </c>
      <c r="L71" s="63" t="s">
        <v>102</v>
      </c>
      <c r="M71" s="81">
        <v>45826</v>
      </c>
      <c r="N71" s="83" t="s">
        <v>138</v>
      </c>
      <c r="O71" s="39" t="s">
        <v>102</v>
      </c>
      <c r="P71" s="39"/>
      <c r="Q71" s="127">
        <v>45845</v>
      </c>
      <c r="R71" s="83" t="s">
        <v>215</v>
      </c>
      <c r="S71" s="39" t="s">
        <v>111</v>
      </c>
      <c r="T71" s="39"/>
      <c r="U71" s="72">
        <v>45880</v>
      </c>
      <c r="V71" s="44"/>
      <c r="W71" s="6"/>
      <c r="X71" s="6"/>
      <c r="Y71" s="87"/>
    </row>
    <row r="72" spans="1:25" s="8" customFormat="1" x14ac:dyDescent="0.25">
      <c r="A72" s="6">
        <v>69</v>
      </c>
      <c r="B72" s="123" t="s">
        <v>23</v>
      </c>
      <c r="C72" s="123" t="s">
        <v>37</v>
      </c>
      <c r="D72" s="6" t="s">
        <v>8</v>
      </c>
      <c r="E72" s="6"/>
      <c r="F72" s="6"/>
      <c r="G72" s="6"/>
      <c r="H72" s="55" t="s">
        <v>168</v>
      </c>
      <c r="I72" s="56">
        <v>30</v>
      </c>
      <c r="J72" s="74" t="s">
        <v>96</v>
      </c>
      <c r="K72" s="108" t="s">
        <v>93</v>
      </c>
      <c r="L72" s="57" t="s">
        <v>98</v>
      </c>
      <c r="M72" s="80">
        <v>45814</v>
      </c>
      <c r="N72" s="44"/>
      <c r="O72" s="6"/>
      <c r="P72" s="6"/>
      <c r="Q72" s="53"/>
      <c r="R72" s="44"/>
      <c r="S72" s="6"/>
      <c r="T72" s="6"/>
      <c r="U72" s="53"/>
      <c r="V72" s="44"/>
      <c r="W72" s="6"/>
      <c r="X72" s="6"/>
      <c r="Y72" s="87"/>
    </row>
    <row r="73" spans="1:25" s="8" customFormat="1" x14ac:dyDescent="0.25">
      <c r="A73" s="6">
        <v>70</v>
      </c>
      <c r="B73" s="123" t="s">
        <v>23</v>
      </c>
      <c r="C73" s="123" t="s">
        <v>24</v>
      </c>
      <c r="D73" s="6" t="s">
        <v>8</v>
      </c>
      <c r="E73" s="6"/>
      <c r="F73" s="6"/>
      <c r="G73" s="6"/>
      <c r="H73" s="46" t="s">
        <v>170</v>
      </c>
      <c r="I73" s="14">
        <v>30</v>
      </c>
      <c r="J73" s="75" t="s">
        <v>96</v>
      </c>
      <c r="K73" s="44"/>
      <c r="L73" s="6"/>
      <c r="M73" s="53"/>
      <c r="N73" s="44" t="s">
        <v>138</v>
      </c>
      <c r="O73" s="6" t="s">
        <v>102</v>
      </c>
      <c r="P73" s="6"/>
      <c r="Q73" s="72">
        <v>45860</v>
      </c>
      <c r="R73" s="44" t="s">
        <v>138</v>
      </c>
      <c r="S73" s="6" t="s">
        <v>102</v>
      </c>
      <c r="T73" s="6"/>
      <c r="U73" s="72">
        <v>45873</v>
      </c>
      <c r="V73" s="44"/>
      <c r="W73" s="6"/>
      <c r="X73" s="6"/>
      <c r="Y73" s="87"/>
    </row>
    <row r="74" spans="1:25" s="8" customFormat="1" x14ac:dyDescent="0.25">
      <c r="A74" s="6">
        <v>71</v>
      </c>
      <c r="B74" s="123" t="s">
        <v>23</v>
      </c>
      <c r="C74" s="123" t="s">
        <v>139</v>
      </c>
      <c r="D74" s="6" t="s">
        <v>8</v>
      </c>
      <c r="E74" s="6"/>
      <c r="F74" s="6"/>
      <c r="G74" s="6"/>
      <c r="H74" s="55" t="s">
        <v>168</v>
      </c>
      <c r="I74" s="56">
        <v>30</v>
      </c>
      <c r="J74" s="74" t="s">
        <v>8</v>
      </c>
      <c r="K74" s="108" t="s">
        <v>93</v>
      </c>
      <c r="L74" s="57" t="s">
        <v>111</v>
      </c>
      <c r="M74" s="79">
        <v>45819</v>
      </c>
      <c r="N74" s="44" t="s">
        <v>138</v>
      </c>
      <c r="O74" s="6" t="s">
        <v>102</v>
      </c>
      <c r="P74" s="6"/>
      <c r="Q74" s="72">
        <v>45845</v>
      </c>
      <c r="R74" s="44" t="s">
        <v>138</v>
      </c>
      <c r="S74" s="6" t="s">
        <v>102</v>
      </c>
      <c r="T74" s="6"/>
      <c r="U74" s="72">
        <v>45876</v>
      </c>
      <c r="V74" s="44"/>
      <c r="W74" s="6"/>
      <c r="X74" s="6"/>
      <c r="Y74" s="87"/>
    </row>
    <row r="75" spans="1:25" s="8" customFormat="1" x14ac:dyDescent="0.25">
      <c r="A75" s="6">
        <v>72</v>
      </c>
      <c r="B75" s="123" t="s">
        <v>23</v>
      </c>
      <c r="C75" s="123" t="s">
        <v>29</v>
      </c>
      <c r="D75" s="6" t="s">
        <v>8</v>
      </c>
      <c r="E75" s="6"/>
      <c r="F75" s="6"/>
      <c r="G75" s="6"/>
      <c r="H75" s="55" t="s">
        <v>168</v>
      </c>
      <c r="I75" s="56">
        <v>30</v>
      </c>
      <c r="J75" s="74" t="s">
        <v>8</v>
      </c>
      <c r="K75" s="108" t="s">
        <v>93</v>
      </c>
      <c r="L75" s="57" t="s">
        <v>194</v>
      </c>
      <c r="M75" s="80">
        <v>45814</v>
      </c>
      <c r="N75" s="44" t="s">
        <v>138</v>
      </c>
      <c r="O75" s="6" t="s">
        <v>102</v>
      </c>
      <c r="P75" s="6"/>
      <c r="Q75" s="72">
        <v>45860</v>
      </c>
      <c r="R75" s="44"/>
      <c r="S75" s="6"/>
      <c r="T75" s="6"/>
      <c r="U75" s="53"/>
      <c r="V75" s="44"/>
      <c r="W75" s="6"/>
      <c r="X75" s="6"/>
      <c r="Y75" s="87"/>
    </row>
    <row r="76" spans="1:25" s="8" customFormat="1" x14ac:dyDescent="0.25">
      <c r="A76" s="6">
        <v>73</v>
      </c>
      <c r="B76" s="123" t="s">
        <v>23</v>
      </c>
      <c r="C76" s="123" t="s">
        <v>33</v>
      </c>
      <c r="D76" s="6" t="s">
        <v>8</v>
      </c>
      <c r="E76" s="6"/>
      <c r="F76" s="6"/>
      <c r="G76" s="6"/>
      <c r="H76" s="97" t="s">
        <v>168</v>
      </c>
      <c r="I76" s="103">
        <v>30</v>
      </c>
      <c r="J76" s="98" t="s">
        <v>8</v>
      </c>
      <c r="K76" s="111"/>
      <c r="L76" s="93"/>
      <c r="M76" s="94"/>
      <c r="N76" s="44"/>
      <c r="O76" s="6"/>
      <c r="P76" s="6"/>
      <c r="Q76" s="53"/>
      <c r="R76" s="44"/>
      <c r="S76" s="6"/>
      <c r="T76" s="6"/>
      <c r="U76" s="53"/>
      <c r="V76" s="44"/>
      <c r="W76" s="6"/>
      <c r="X76" s="6"/>
      <c r="Y76" s="87"/>
    </row>
    <row r="77" spans="1:25" s="8" customFormat="1" x14ac:dyDescent="0.25">
      <c r="A77" s="6">
        <v>74</v>
      </c>
      <c r="B77" s="123" t="s">
        <v>23</v>
      </c>
      <c r="C77" s="123" t="s">
        <v>142</v>
      </c>
      <c r="D77" s="6" t="s">
        <v>8</v>
      </c>
      <c r="E77" s="6"/>
      <c r="F77" s="6"/>
      <c r="G77" s="6"/>
      <c r="H77" s="46" t="s">
        <v>170</v>
      </c>
      <c r="I77" s="14">
        <v>30</v>
      </c>
      <c r="J77" s="75" t="s">
        <v>96</v>
      </c>
      <c r="K77" s="44"/>
      <c r="L77" s="6"/>
      <c r="M77" s="53"/>
      <c r="N77" s="44" t="s">
        <v>138</v>
      </c>
      <c r="O77" s="6" t="s">
        <v>102</v>
      </c>
      <c r="P77" s="6"/>
      <c r="Q77" s="72">
        <v>45847</v>
      </c>
      <c r="R77" s="44"/>
      <c r="S77" s="6"/>
      <c r="T77" s="6"/>
      <c r="U77" s="53"/>
      <c r="V77" s="44"/>
      <c r="W77" s="6"/>
      <c r="X77" s="6"/>
      <c r="Y77" s="87"/>
    </row>
    <row r="78" spans="1:25" s="8" customFormat="1" x14ac:dyDescent="0.25">
      <c r="A78" s="6">
        <v>75</v>
      </c>
      <c r="B78" s="123" t="s">
        <v>23</v>
      </c>
      <c r="C78" s="123" t="s">
        <v>74</v>
      </c>
      <c r="D78" s="6" t="s">
        <v>8</v>
      </c>
      <c r="E78" s="6"/>
      <c r="F78" s="6"/>
      <c r="G78" s="6"/>
      <c r="H78" s="97" t="s">
        <v>168</v>
      </c>
      <c r="I78" s="103">
        <v>30</v>
      </c>
      <c r="J78" s="98" t="s">
        <v>96</v>
      </c>
      <c r="K78" s="111"/>
      <c r="L78" s="93"/>
      <c r="M78" s="94"/>
      <c r="N78" s="44"/>
      <c r="O78" s="6"/>
      <c r="P78" s="6" t="s">
        <v>96</v>
      </c>
      <c r="Q78" s="53"/>
      <c r="R78" s="44"/>
      <c r="S78" s="6"/>
      <c r="T78" s="6"/>
      <c r="U78" s="53"/>
      <c r="V78" s="44"/>
      <c r="W78" s="6"/>
      <c r="X78" s="6"/>
      <c r="Y78" s="87"/>
    </row>
    <row r="79" spans="1:25" s="8" customFormat="1" x14ac:dyDescent="0.25">
      <c r="A79" s="6">
        <v>76</v>
      </c>
      <c r="B79" s="123" t="s">
        <v>23</v>
      </c>
      <c r="C79" s="123" t="s">
        <v>75</v>
      </c>
      <c r="D79" s="6" t="s">
        <v>8</v>
      </c>
      <c r="E79" s="6"/>
      <c r="F79" s="6"/>
      <c r="G79" s="6"/>
      <c r="H79" s="46" t="s">
        <v>170</v>
      </c>
      <c r="I79" s="14">
        <v>30</v>
      </c>
      <c r="J79" s="75" t="s">
        <v>8</v>
      </c>
      <c r="K79" s="44"/>
      <c r="L79" s="6"/>
      <c r="M79" s="53"/>
      <c r="N79" s="44"/>
      <c r="O79" s="6"/>
      <c r="P79" s="6"/>
      <c r="Q79" s="53"/>
      <c r="R79" s="44"/>
      <c r="S79" s="6"/>
      <c r="T79" s="6"/>
      <c r="U79" s="53"/>
      <c r="V79" s="44"/>
      <c r="W79" s="6"/>
      <c r="X79" s="6"/>
      <c r="Y79" s="87"/>
    </row>
    <row r="80" spans="1:25" s="8" customFormat="1" x14ac:dyDescent="0.25">
      <c r="A80" s="6">
        <v>77</v>
      </c>
      <c r="B80" s="123" t="s">
        <v>23</v>
      </c>
      <c r="C80" s="123" t="s">
        <v>123</v>
      </c>
      <c r="D80" s="6" t="s">
        <v>8</v>
      </c>
      <c r="E80" s="6"/>
      <c r="F80" s="6"/>
      <c r="G80" s="6"/>
      <c r="H80" s="46" t="s">
        <v>170</v>
      </c>
      <c r="I80" s="14">
        <v>30</v>
      </c>
      <c r="J80" s="75" t="s">
        <v>8</v>
      </c>
      <c r="K80" s="44"/>
      <c r="L80" s="6"/>
      <c r="M80" s="72"/>
      <c r="N80" s="44" t="s">
        <v>138</v>
      </c>
      <c r="O80" s="6" t="s">
        <v>102</v>
      </c>
      <c r="Q80" s="67">
        <v>45848</v>
      </c>
      <c r="R80" s="44" t="s">
        <v>93</v>
      </c>
      <c r="S80" s="6" t="s">
        <v>111</v>
      </c>
      <c r="T80" s="6"/>
      <c r="U80" s="67">
        <v>45879</v>
      </c>
      <c r="V80" s="44"/>
      <c r="W80" s="6"/>
      <c r="X80" s="6"/>
      <c r="Y80" s="87"/>
    </row>
    <row r="81" spans="1:33" s="8" customFormat="1" x14ac:dyDescent="0.25">
      <c r="A81" s="6">
        <v>78</v>
      </c>
      <c r="B81" s="123" t="s">
        <v>23</v>
      </c>
      <c r="C81" s="123" t="s">
        <v>171</v>
      </c>
      <c r="D81" s="6" t="s">
        <v>8</v>
      </c>
      <c r="E81" s="6"/>
      <c r="F81" s="6"/>
      <c r="G81" s="6"/>
      <c r="H81" s="46" t="s">
        <v>170</v>
      </c>
      <c r="I81" s="14">
        <v>30</v>
      </c>
      <c r="J81" s="75" t="s">
        <v>96</v>
      </c>
      <c r="K81" s="44"/>
      <c r="L81" s="6"/>
      <c r="M81" s="53"/>
      <c r="N81" s="44" t="s">
        <v>138</v>
      </c>
      <c r="O81" s="6" t="s">
        <v>102</v>
      </c>
      <c r="P81" s="6"/>
      <c r="Q81" s="72">
        <v>45862</v>
      </c>
      <c r="R81" s="44"/>
      <c r="S81" s="6"/>
      <c r="T81" s="6"/>
      <c r="U81" s="53"/>
      <c r="V81" s="44"/>
      <c r="W81" s="6"/>
      <c r="X81" s="6"/>
      <c r="Y81" s="87"/>
    </row>
    <row r="82" spans="1:33" s="8" customFormat="1" x14ac:dyDescent="0.25">
      <c r="A82" s="6">
        <v>79</v>
      </c>
      <c r="B82" s="123" t="s">
        <v>23</v>
      </c>
      <c r="C82" s="123" t="s">
        <v>172</v>
      </c>
      <c r="D82" s="6" t="s">
        <v>8</v>
      </c>
      <c r="E82" s="6"/>
      <c r="F82" s="6"/>
      <c r="G82" s="6"/>
      <c r="H82" s="46" t="s">
        <v>170</v>
      </c>
      <c r="I82" s="14">
        <v>30</v>
      </c>
      <c r="J82" s="75"/>
      <c r="K82" s="44"/>
      <c r="L82" s="6"/>
      <c r="M82" s="53"/>
      <c r="N82" s="44" t="s">
        <v>138</v>
      </c>
      <c r="O82" s="6" t="s">
        <v>122</v>
      </c>
      <c r="P82" s="6"/>
      <c r="Q82" s="72">
        <v>45862</v>
      </c>
      <c r="R82" s="44" t="s">
        <v>93</v>
      </c>
      <c r="S82" s="6" t="s">
        <v>111</v>
      </c>
      <c r="T82" s="6"/>
      <c r="U82" s="53"/>
      <c r="V82" s="44"/>
      <c r="W82" s="6"/>
      <c r="X82" s="6"/>
      <c r="Y82" s="87"/>
    </row>
    <row r="83" spans="1:33" s="8" customFormat="1" x14ac:dyDescent="0.25">
      <c r="A83" s="6">
        <v>80</v>
      </c>
      <c r="B83" s="7" t="s">
        <v>19</v>
      </c>
      <c r="C83" s="7" t="s">
        <v>5</v>
      </c>
      <c r="D83" s="6" t="s">
        <v>8</v>
      </c>
      <c r="E83" s="6"/>
      <c r="F83" s="6"/>
      <c r="G83" s="6"/>
      <c r="H83" s="55" t="s">
        <v>168</v>
      </c>
      <c r="I83" s="56">
        <v>30</v>
      </c>
      <c r="J83" s="74" t="s">
        <v>96</v>
      </c>
      <c r="K83" s="108" t="s">
        <v>93</v>
      </c>
      <c r="L83" s="57" t="s">
        <v>111</v>
      </c>
      <c r="M83" s="79">
        <v>45818</v>
      </c>
      <c r="N83" s="44" t="s">
        <v>138</v>
      </c>
      <c r="O83" s="6" t="s">
        <v>102</v>
      </c>
      <c r="P83" s="6"/>
      <c r="Q83" s="72">
        <v>45845</v>
      </c>
      <c r="R83" s="44" t="s">
        <v>93</v>
      </c>
      <c r="S83" s="6" t="s">
        <v>111</v>
      </c>
      <c r="T83" s="6"/>
      <c r="U83" s="72">
        <v>45876</v>
      </c>
      <c r="V83" s="44"/>
      <c r="W83" s="6"/>
      <c r="X83" s="6"/>
      <c r="Y83" s="87"/>
    </row>
    <row r="84" spans="1:33" s="8" customFormat="1" x14ac:dyDescent="0.25">
      <c r="A84" s="6">
        <v>81</v>
      </c>
      <c r="B84" s="7" t="s">
        <v>19</v>
      </c>
      <c r="C84" s="7" t="s">
        <v>25</v>
      </c>
      <c r="D84" s="6" t="s">
        <v>8</v>
      </c>
      <c r="E84" s="6"/>
      <c r="F84" s="6"/>
      <c r="G84" s="6"/>
      <c r="H84" s="97" t="s">
        <v>168</v>
      </c>
      <c r="I84" s="103">
        <v>30</v>
      </c>
      <c r="J84" s="98" t="s">
        <v>96</v>
      </c>
      <c r="K84" s="111"/>
      <c r="L84" s="93"/>
      <c r="M84" s="94"/>
      <c r="N84" s="44"/>
      <c r="O84" s="6"/>
      <c r="P84" s="6" t="s">
        <v>96</v>
      </c>
      <c r="Q84" s="53"/>
      <c r="R84" s="44"/>
      <c r="S84" s="6"/>
      <c r="T84" s="6"/>
      <c r="U84" s="53"/>
      <c r="V84" s="44"/>
      <c r="W84" s="6"/>
      <c r="X84" s="6"/>
      <c r="Y84" s="87"/>
    </row>
    <row r="85" spans="1:33" s="8" customFormat="1" x14ac:dyDescent="0.25">
      <c r="A85" s="6">
        <v>82</v>
      </c>
      <c r="B85" s="7" t="s">
        <v>19</v>
      </c>
      <c r="C85" s="7" t="s">
        <v>106</v>
      </c>
      <c r="D85" s="6" t="s">
        <v>8</v>
      </c>
      <c r="E85" s="6"/>
      <c r="F85" s="6"/>
      <c r="G85" s="6"/>
      <c r="H85" s="55" t="s">
        <v>168</v>
      </c>
      <c r="I85" s="56">
        <v>30</v>
      </c>
      <c r="J85" s="74" t="s">
        <v>96</v>
      </c>
      <c r="K85" s="108" t="s">
        <v>93</v>
      </c>
      <c r="L85" s="57" t="s">
        <v>102</v>
      </c>
      <c r="M85" s="79">
        <v>45817</v>
      </c>
      <c r="N85" s="44" t="s">
        <v>138</v>
      </c>
      <c r="O85" s="6" t="s">
        <v>102</v>
      </c>
      <c r="P85" s="6"/>
      <c r="Q85" s="72">
        <v>45847</v>
      </c>
      <c r="R85" s="44" t="s">
        <v>93</v>
      </c>
      <c r="S85" s="6" t="s">
        <v>111</v>
      </c>
      <c r="T85" s="6"/>
      <c r="U85" s="72">
        <v>45876</v>
      </c>
      <c r="V85" s="44"/>
      <c r="W85" s="6"/>
      <c r="X85" s="6"/>
      <c r="Y85" s="87"/>
    </row>
    <row r="86" spans="1:33" customFormat="1" x14ac:dyDescent="0.25">
      <c r="A86" s="6">
        <v>83</v>
      </c>
      <c r="B86" s="7" t="s">
        <v>150</v>
      </c>
      <c r="C86" s="7" t="s">
        <v>151</v>
      </c>
      <c r="D86" s="6" t="s">
        <v>8</v>
      </c>
      <c r="E86" s="6"/>
      <c r="F86" s="6"/>
      <c r="G86" s="6"/>
      <c r="H86" s="46" t="s">
        <v>170</v>
      </c>
      <c r="I86" s="14">
        <v>30</v>
      </c>
      <c r="J86" s="75" t="s">
        <v>8</v>
      </c>
      <c r="K86" s="50"/>
      <c r="L86" s="6"/>
      <c r="M86" s="53"/>
      <c r="N86" s="44"/>
      <c r="O86" s="6"/>
      <c r="P86" s="6"/>
      <c r="Q86" s="53"/>
      <c r="R86" s="44"/>
      <c r="S86" s="6"/>
      <c r="T86" s="6"/>
      <c r="U86" s="53"/>
      <c r="V86" s="44"/>
      <c r="W86" s="6"/>
      <c r="X86" s="6"/>
      <c r="Y86" s="87"/>
      <c r="Z86" s="8"/>
      <c r="AA86" s="8"/>
      <c r="AB86" s="8"/>
      <c r="AC86" s="8"/>
      <c r="AD86" s="8"/>
      <c r="AE86" s="8"/>
      <c r="AF86" s="8"/>
      <c r="AG86" s="8"/>
    </row>
    <row r="87" spans="1:33" customFormat="1" x14ac:dyDescent="0.25">
      <c r="A87" s="6">
        <v>84</v>
      </c>
      <c r="B87" s="7" t="s">
        <v>76</v>
      </c>
      <c r="C87" s="7" t="s">
        <v>154</v>
      </c>
      <c r="D87" s="6" t="s">
        <v>8</v>
      </c>
      <c r="E87" s="6"/>
      <c r="F87" s="6"/>
      <c r="G87" s="6"/>
      <c r="H87" s="46" t="s">
        <v>189</v>
      </c>
      <c r="I87" s="14">
        <v>30</v>
      </c>
      <c r="J87" s="75" t="s">
        <v>155</v>
      </c>
      <c r="K87" s="50"/>
      <c r="L87" s="6"/>
      <c r="M87" s="53"/>
      <c r="N87" s="44"/>
      <c r="O87" s="6"/>
      <c r="P87" s="6"/>
      <c r="Q87" s="53"/>
      <c r="R87" s="44"/>
      <c r="S87" s="6"/>
      <c r="T87" s="6"/>
      <c r="U87" s="53"/>
      <c r="V87" s="44"/>
      <c r="W87" s="6"/>
      <c r="X87" s="6"/>
      <c r="Y87" s="87"/>
      <c r="Z87" s="8"/>
      <c r="AA87" s="8"/>
      <c r="AB87" s="8"/>
      <c r="AC87" s="8"/>
      <c r="AD87" s="8"/>
      <c r="AE87" s="8"/>
      <c r="AF87" s="8"/>
      <c r="AG87" s="8"/>
    </row>
    <row r="88" spans="1:33" customFormat="1" x14ac:dyDescent="0.25">
      <c r="A88" s="6">
        <v>85</v>
      </c>
      <c r="B88" s="7" t="s">
        <v>76</v>
      </c>
      <c r="C88" s="7" t="s">
        <v>4</v>
      </c>
      <c r="D88" s="6" t="s">
        <v>8</v>
      </c>
      <c r="E88" s="6"/>
      <c r="F88" s="6"/>
      <c r="G88" s="6"/>
      <c r="H88" s="55" t="s">
        <v>168</v>
      </c>
      <c r="I88" s="56">
        <v>30</v>
      </c>
      <c r="J88" s="74" t="s">
        <v>96</v>
      </c>
      <c r="K88" s="108" t="s">
        <v>93</v>
      </c>
      <c r="L88" s="57" t="s">
        <v>102</v>
      </c>
      <c r="M88" s="79">
        <v>45814</v>
      </c>
      <c r="N88" s="44" t="s">
        <v>138</v>
      </c>
      <c r="O88" s="6" t="s">
        <v>102</v>
      </c>
      <c r="P88" s="6" t="s">
        <v>96</v>
      </c>
      <c r="Q88" s="72">
        <v>45852</v>
      </c>
      <c r="R88" s="44" t="s">
        <v>93</v>
      </c>
      <c r="S88" s="6" t="s">
        <v>111</v>
      </c>
      <c r="T88" s="6"/>
      <c r="U88" s="72">
        <v>45876</v>
      </c>
      <c r="V88" s="44"/>
      <c r="W88" s="6"/>
      <c r="X88" s="6"/>
      <c r="Y88" s="87"/>
      <c r="Z88" s="8"/>
      <c r="AA88" s="8"/>
      <c r="AB88" s="8"/>
      <c r="AC88" s="8"/>
      <c r="AD88" s="8"/>
      <c r="AE88" s="8"/>
      <c r="AF88" s="8"/>
      <c r="AG88" s="8"/>
    </row>
    <row r="89" spans="1:33" customFormat="1" x14ac:dyDescent="0.25">
      <c r="A89" s="6">
        <v>86</v>
      </c>
      <c r="B89" s="7" t="s">
        <v>76</v>
      </c>
      <c r="C89" s="7" t="s">
        <v>32</v>
      </c>
      <c r="D89" s="6" t="s">
        <v>8</v>
      </c>
      <c r="E89" s="6"/>
      <c r="F89" s="6"/>
      <c r="G89" s="6"/>
      <c r="H89" s="55" t="s">
        <v>168</v>
      </c>
      <c r="I89" s="56">
        <v>30</v>
      </c>
      <c r="J89" s="74" t="s">
        <v>96</v>
      </c>
      <c r="K89" s="108" t="s">
        <v>93</v>
      </c>
      <c r="L89" s="57" t="s">
        <v>98</v>
      </c>
      <c r="M89" s="79">
        <v>45814</v>
      </c>
      <c r="N89" s="44" t="s">
        <v>93</v>
      </c>
      <c r="O89" s="6" t="s">
        <v>98</v>
      </c>
      <c r="P89" s="6" t="s">
        <v>8</v>
      </c>
      <c r="Q89" s="72">
        <v>45853</v>
      </c>
      <c r="R89" s="44"/>
      <c r="S89" s="6"/>
      <c r="T89" s="6"/>
      <c r="U89" s="53"/>
      <c r="V89" s="44"/>
      <c r="W89" s="6"/>
      <c r="X89" s="6"/>
      <c r="Y89" s="87"/>
      <c r="Z89" s="8"/>
      <c r="AA89" s="8"/>
      <c r="AB89" s="8"/>
      <c r="AC89" s="8"/>
      <c r="AD89" s="8"/>
      <c r="AE89" s="8"/>
      <c r="AF89" s="8"/>
      <c r="AG89" s="8"/>
    </row>
    <row r="90" spans="1:33" customFormat="1" x14ac:dyDescent="0.25">
      <c r="A90" s="6">
        <v>87</v>
      </c>
      <c r="B90" s="7" t="s">
        <v>76</v>
      </c>
      <c r="C90" s="7" t="s">
        <v>26</v>
      </c>
      <c r="D90" s="6" t="s">
        <v>8</v>
      </c>
      <c r="E90" s="6"/>
      <c r="F90" s="6"/>
      <c r="G90" s="6"/>
      <c r="H90" s="55" t="s">
        <v>168</v>
      </c>
      <c r="I90" s="56">
        <v>30</v>
      </c>
      <c r="J90" s="74" t="s">
        <v>155</v>
      </c>
      <c r="K90" s="108" t="s">
        <v>93</v>
      </c>
      <c r="L90" s="57" t="s">
        <v>98</v>
      </c>
      <c r="M90" s="79">
        <v>45814</v>
      </c>
      <c r="N90" s="44"/>
      <c r="O90" s="6"/>
      <c r="P90" s="6"/>
      <c r="Q90" s="53"/>
      <c r="R90" s="44"/>
      <c r="S90" s="6"/>
      <c r="T90" s="6"/>
      <c r="U90" s="53"/>
      <c r="V90" s="44"/>
      <c r="W90" s="6"/>
      <c r="X90" s="6"/>
      <c r="Y90" s="87"/>
      <c r="Z90" s="8"/>
      <c r="AA90" s="8"/>
      <c r="AB90" s="8"/>
      <c r="AC90" s="8"/>
      <c r="AD90" s="8"/>
      <c r="AE90" s="8"/>
      <c r="AF90" s="8"/>
      <c r="AG90" s="8"/>
    </row>
    <row r="91" spans="1:33" customFormat="1" x14ac:dyDescent="0.25">
      <c r="A91" s="6">
        <v>88</v>
      </c>
      <c r="B91" s="7" t="s">
        <v>76</v>
      </c>
      <c r="C91" s="7" t="s">
        <v>77</v>
      </c>
      <c r="D91" s="6" t="s">
        <v>8</v>
      </c>
      <c r="E91" s="6"/>
      <c r="F91" s="6"/>
      <c r="G91" s="6"/>
      <c r="H91" s="46" t="s">
        <v>189</v>
      </c>
      <c r="I91" s="14">
        <v>30</v>
      </c>
      <c r="J91" s="75" t="s">
        <v>155</v>
      </c>
      <c r="K91" s="44"/>
      <c r="L91" s="6"/>
      <c r="M91" s="53"/>
      <c r="N91" s="44"/>
      <c r="O91" s="6"/>
      <c r="P91" s="6"/>
      <c r="Q91" s="53"/>
      <c r="R91" s="44"/>
      <c r="S91" s="6"/>
      <c r="T91" s="6"/>
      <c r="U91" s="53"/>
      <c r="V91" s="44"/>
      <c r="W91" s="6"/>
      <c r="X91" s="6"/>
      <c r="Y91" s="87"/>
      <c r="Z91" s="8"/>
      <c r="AA91" s="8"/>
      <c r="AB91" s="8"/>
      <c r="AC91" s="8"/>
      <c r="AD91" s="8"/>
      <c r="AE91" s="8"/>
      <c r="AF91" s="8"/>
      <c r="AG91" s="8"/>
    </row>
    <row r="92" spans="1:33" customFormat="1" x14ac:dyDescent="0.25">
      <c r="A92" s="6">
        <v>89</v>
      </c>
      <c r="B92" s="7" t="s">
        <v>46</v>
      </c>
      <c r="C92" s="7" t="s">
        <v>45</v>
      </c>
      <c r="D92" s="6" t="s">
        <v>8</v>
      </c>
      <c r="E92" s="6"/>
      <c r="F92" s="6"/>
      <c r="G92" s="6"/>
      <c r="H92" s="55" t="s">
        <v>168</v>
      </c>
      <c r="I92" s="56">
        <v>30</v>
      </c>
      <c r="J92" s="74" t="s">
        <v>8</v>
      </c>
      <c r="K92" s="108" t="s">
        <v>93</v>
      </c>
      <c r="L92" s="57" t="s">
        <v>102</v>
      </c>
      <c r="M92" s="79">
        <v>45814</v>
      </c>
      <c r="N92" s="44"/>
      <c r="O92" s="6"/>
      <c r="P92" s="6" t="s">
        <v>156</v>
      </c>
      <c r="Q92" s="53"/>
      <c r="R92" s="44"/>
      <c r="S92" s="6"/>
      <c r="T92" s="6"/>
      <c r="U92" s="53"/>
      <c r="V92" s="44"/>
      <c r="W92" s="6"/>
      <c r="X92" s="6"/>
      <c r="Y92" s="87"/>
      <c r="Z92" s="8"/>
      <c r="AA92" s="8"/>
      <c r="AB92" s="8"/>
      <c r="AC92" s="8"/>
      <c r="AD92" s="8"/>
      <c r="AE92" s="8"/>
      <c r="AF92" s="8"/>
      <c r="AG92" s="8"/>
    </row>
    <row r="93" spans="1:33" customFormat="1" x14ac:dyDescent="0.25">
      <c r="A93" s="6">
        <v>90</v>
      </c>
      <c r="B93" s="7" t="s">
        <v>152</v>
      </c>
      <c r="C93" s="7" t="s">
        <v>153</v>
      </c>
      <c r="D93" s="6" t="s">
        <v>8</v>
      </c>
      <c r="E93" s="6"/>
      <c r="F93" s="6"/>
      <c r="G93" s="6"/>
      <c r="H93" s="46" t="s">
        <v>170</v>
      </c>
      <c r="I93" s="14">
        <v>30</v>
      </c>
      <c r="J93" s="75" t="s">
        <v>8</v>
      </c>
      <c r="K93" s="44"/>
      <c r="L93" s="6"/>
      <c r="M93" s="53"/>
      <c r="N93" s="44" t="s">
        <v>138</v>
      </c>
      <c r="O93" s="6" t="s">
        <v>102</v>
      </c>
      <c r="P93" s="6"/>
      <c r="Q93" s="72">
        <v>45852</v>
      </c>
      <c r="R93" s="44"/>
      <c r="S93" s="6"/>
      <c r="T93" s="6"/>
      <c r="U93" s="53"/>
      <c r="V93" s="44"/>
      <c r="W93" s="6"/>
      <c r="X93" s="6"/>
      <c r="Y93" s="87"/>
      <c r="Z93" s="8"/>
      <c r="AA93" s="8"/>
      <c r="AB93" s="8"/>
      <c r="AC93" s="8"/>
      <c r="AD93" s="8"/>
      <c r="AE93" s="8"/>
      <c r="AF93" s="8"/>
      <c r="AG93" s="8"/>
    </row>
    <row r="94" spans="1:33" customFormat="1" x14ac:dyDescent="0.25">
      <c r="A94" s="6">
        <v>91</v>
      </c>
      <c r="B94" s="7" t="s">
        <v>187</v>
      </c>
      <c r="C94" s="7" t="s">
        <v>188</v>
      </c>
      <c r="D94" s="6" t="s">
        <v>8</v>
      </c>
      <c r="E94" s="6"/>
      <c r="F94" s="6"/>
      <c r="G94" s="6"/>
      <c r="H94" s="46" t="s">
        <v>189</v>
      </c>
      <c r="I94" s="14">
        <v>30</v>
      </c>
      <c r="J94" s="75"/>
      <c r="K94" s="44"/>
      <c r="L94" s="6"/>
      <c r="M94" s="53"/>
      <c r="N94" s="44"/>
      <c r="O94" s="6"/>
      <c r="P94" s="6"/>
      <c r="Q94" s="53"/>
      <c r="R94" s="44"/>
      <c r="S94" s="6"/>
      <c r="T94" s="6"/>
      <c r="U94" s="53"/>
      <c r="V94" s="44"/>
      <c r="W94" s="6"/>
      <c r="X94" s="6"/>
      <c r="Y94" s="87"/>
      <c r="Z94" s="8"/>
      <c r="AA94" s="8"/>
      <c r="AB94" s="8"/>
      <c r="AC94" s="8"/>
      <c r="AD94" s="8"/>
      <c r="AE94" s="8"/>
      <c r="AF94" s="8"/>
      <c r="AG94" s="8"/>
    </row>
    <row r="95" spans="1:33" customFormat="1" x14ac:dyDescent="0.25">
      <c r="A95" s="6">
        <v>92</v>
      </c>
      <c r="B95" s="7" t="s">
        <v>190</v>
      </c>
      <c r="C95" s="7" t="s">
        <v>191</v>
      </c>
      <c r="D95" s="3" t="s">
        <v>8</v>
      </c>
      <c r="E95" s="3"/>
      <c r="F95" s="3"/>
      <c r="G95" s="3"/>
      <c r="H95" s="46" t="s">
        <v>189</v>
      </c>
      <c r="I95" s="11">
        <v>30</v>
      </c>
      <c r="J95" s="77"/>
      <c r="K95" s="34"/>
      <c r="L95" s="3"/>
      <c r="M95" s="35"/>
      <c r="N95" s="44"/>
      <c r="O95" s="6"/>
      <c r="P95" s="6"/>
      <c r="Q95" s="53"/>
      <c r="R95" s="44"/>
      <c r="S95" s="6"/>
      <c r="T95" s="6"/>
      <c r="U95" s="53"/>
      <c r="V95" s="44"/>
      <c r="W95" s="6"/>
      <c r="X95" s="6"/>
      <c r="Y95" s="87"/>
      <c r="Z95" s="8"/>
      <c r="AA95" s="8"/>
      <c r="AB95" s="8"/>
      <c r="AC95" s="8"/>
      <c r="AD95" s="8"/>
      <c r="AE95" s="8"/>
      <c r="AF95" s="8"/>
      <c r="AG95" s="8"/>
    </row>
    <row r="96" spans="1:33" customFormat="1" x14ac:dyDescent="0.25">
      <c r="A96" s="6">
        <v>93</v>
      </c>
      <c r="B96" s="7" t="s">
        <v>192</v>
      </c>
      <c r="C96" s="7" t="s">
        <v>193</v>
      </c>
      <c r="D96" s="3" t="s">
        <v>8</v>
      </c>
      <c r="E96" s="3"/>
      <c r="F96" s="3"/>
      <c r="G96" s="3"/>
      <c r="H96" s="46" t="s">
        <v>189</v>
      </c>
      <c r="I96" s="11">
        <v>30</v>
      </c>
      <c r="J96" s="77"/>
      <c r="K96" s="34"/>
      <c r="L96" s="3"/>
      <c r="M96" s="35"/>
      <c r="N96" s="44"/>
      <c r="O96" s="6"/>
      <c r="P96" s="6"/>
      <c r="Q96" s="53"/>
      <c r="R96" s="44"/>
      <c r="S96" s="6"/>
      <c r="T96" s="6"/>
      <c r="U96" s="53"/>
      <c r="V96" s="44"/>
      <c r="W96" s="6"/>
      <c r="X96" s="6"/>
      <c r="Y96" s="87"/>
      <c r="Z96" s="8"/>
      <c r="AA96" s="8"/>
      <c r="AB96" s="8"/>
      <c r="AC96" s="8"/>
      <c r="AD96" s="8"/>
      <c r="AE96" s="8"/>
      <c r="AF96" s="8"/>
      <c r="AG96" s="8"/>
    </row>
    <row r="97" spans="1:33" customFormat="1" x14ac:dyDescent="0.25">
      <c r="A97" s="6">
        <v>94</v>
      </c>
      <c r="B97" s="7" t="s">
        <v>61</v>
      </c>
      <c r="C97" s="7" t="s">
        <v>195</v>
      </c>
      <c r="D97" s="3" t="s">
        <v>8</v>
      </c>
      <c r="E97" s="3"/>
      <c r="F97" s="3"/>
      <c r="G97" s="3"/>
      <c r="H97" s="46" t="s">
        <v>189</v>
      </c>
      <c r="I97" s="11">
        <v>30</v>
      </c>
      <c r="J97" s="77" t="s">
        <v>8</v>
      </c>
      <c r="K97" s="34"/>
      <c r="L97" s="3"/>
      <c r="M97" s="35"/>
      <c r="N97" s="44"/>
      <c r="O97" s="6"/>
      <c r="P97" s="6"/>
      <c r="Q97" s="53"/>
      <c r="R97" s="44"/>
      <c r="S97" s="6"/>
      <c r="T97" s="6"/>
      <c r="U97" s="53"/>
      <c r="V97" s="44"/>
      <c r="W97" s="6"/>
      <c r="X97" s="6"/>
      <c r="Y97" s="87"/>
      <c r="Z97" s="8"/>
      <c r="AA97" s="8"/>
      <c r="AB97" s="8"/>
      <c r="AC97" s="8"/>
      <c r="AD97" s="8"/>
      <c r="AE97" s="8"/>
      <c r="AF97" s="8"/>
      <c r="AG97" s="8"/>
    </row>
    <row r="98" spans="1:33" customFormat="1" x14ac:dyDescent="0.25">
      <c r="A98" s="6">
        <v>95</v>
      </c>
      <c r="B98" s="7"/>
      <c r="C98" s="7"/>
      <c r="D98" s="3"/>
      <c r="E98" s="3"/>
      <c r="F98" s="3"/>
      <c r="G98" s="3"/>
      <c r="H98" s="46"/>
      <c r="I98" s="11"/>
      <c r="J98" s="77"/>
      <c r="K98" s="34"/>
      <c r="L98" s="3"/>
      <c r="M98" s="35"/>
      <c r="N98" s="44"/>
      <c r="O98" s="6"/>
      <c r="P98" s="6"/>
      <c r="Q98" s="53"/>
      <c r="R98" s="44"/>
      <c r="S98" s="6"/>
      <c r="T98" s="6"/>
      <c r="U98" s="53"/>
      <c r="V98" s="44"/>
      <c r="W98" s="6"/>
      <c r="X98" s="6"/>
      <c r="Y98" s="87"/>
      <c r="Z98" s="8"/>
      <c r="AA98" s="8"/>
      <c r="AB98" s="8"/>
      <c r="AC98" s="8"/>
      <c r="AD98" s="8"/>
      <c r="AE98" s="8"/>
      <c r="AF98" s="8"/>
      <c r="AG98" s="8"/>
    </row>
    <row r="99" spans="1:33" customFormat="1" x14ac:dyDescent="0.25">
      <c r="A99" s="6">
        <v>96</v>
      </c>
      <c r="B99" s="7"/>
      <c r="C99" s="7"/>
      <c r="D99" s="3"/>
      <c r="E99" s="3"/>
      <c r="F99" s="3"/>
      <c r="G99" s="3"/>
      <c r="H99" s="46"/>
      <c r="I99" s="11"/>
      <c r="J99" s="77"/>
      <c r="K99" s="34"/>
      <c r="L99" s="3"/>
      <c r="M99" s="35"/>
      <c r="N99" s="44"/>
      <c r="O99" s="6"/>
      <c r="P99" s="6"/>
      <c r="Q99" s="53"/>
      <c r="R99" s="44"/>
      <c r="S99" s="6"/>
      <c r="T99" s="6"/>
      <c r="U99" s="53"/>
      <c r="V99" s="44"/>
      <c r="W99" s="6"/>
      <c r="X99" s="6"/>
      <c r="Y99" s="87"/>
      <c r="Z99" s="8"/>
      <c r="AA99" s="8"/>
      <c r="AB99" s="8"/>
      <c r="AC99" s="8"/>
      <c r="AD99" s="8"/>
      <c r="AE99" s="8"/>
      <c r="AF99" s="8"/>
      <c r="AG99" s="8"/>
    </row>
    <row r="100" spans="1:33" customFormat="1" ht="15.75" thickBot="1" x14ac:dyDescent="0.3">
      <c r="A100" s="6">
        <v>97</v>
      </c>
      <c r="B100" s="7"/>
      <c r="C100" s="7"/>
      <c r="D100" s="3"/>
      <c r="E100" s="3"/>
      <c r="F100" s="3"/>
      <c r="G100" s="3"/>
      <c r="H100" s="46"/>
      <c r="I100" s="11"/>
      <c r="J100" s="77"/>
      <c r="K100" s="34"/>
      <c r="L100" s="3"/>
      <c r="M100" s="35"/>
      <c r="N100" s="51"/>
      <c r="O100" s="52"/>
      <c r="P100" s="52"/>
      <c r="Q100" s="54"/>
      <c r="R100" s="51"/>
      <c r="S100" s="52"/>
      <c r="T100" s="52"/>
      <c r="U100" s="54"/>
      <c r="V100" s="51"/>
      <c r="W100" s="52"/>
      <c r="X100" s="52"/>
      <c r="Y100" s="89"/>
      <c r="Z100" s="8"/>
      <c r="AA100" s="8"/>
      <c r="AB100" s="8"/>
      <c r="AC100" s="8"/>
      <c r="AD100" s="8"/>
      <c r="AE100" s="8"/>
      <c r="AF100" s="8"/>
      <c r="AG100" s="8"/>
    </row>
    <row r="101" spans="1:33" customFormat="1" x14ac:dyDescent="0.25">
      <c r="A101" s="6">
        <v>98</v>
      </c>
      <c r="B101" s="7"/>
      <c r="C101" s="7"/>
      <c r="D101" s="3"/>
      <c r="E101" s="3"/>
      <c r="F101" s="3"/>
      <c r="G101" s="3"/>
      <c r="H101" s="46"/>
      <c r="I101" s="11"/>
      <c r="J101" s="77"/>
      <c r="K101" s="34"/>
      <c r="L101" s="3"/>
      <c r="M101" s="35"/>
      <c r="N101" s="11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86"/>
      <c r="Z101" s="8"/>
      <c r="AA101" s="8"/>
      <c r="AB101" s="8"/>
      <c r="AC101" s="8"/>
      <c r="AD101" s="8"/>
      <c r="AE101" s="8"/>
      <c r="AF101" s="8"/>
      <c r="AG101" s="8"/>
    </row>
    <row r="102" spans="1:33" customFormat="1" x14ac:dyDescent="0.25">
      <c r="A102" s="6">
        <v>99</v>
      </c>
      <c r="B102" s="7"/>
      <c r="C102" s="7"/>
      <c r="D102" s="3"/>
      <c r="E102" s="3"/>
      <c r="F102" s="3"/>
      <c r="G102" s="3"/>
      <c r="H102" s="46"/>
      <c r="I102" s="11"/>
      <c r="J102" s="77"/>
      <c r="K102" s="34"/>
      <c r="L102" s="3"/>
      <c r="M102" s="35"/>
      <c r="N102" s="18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7"/>
      <c r="Z102" s="8"/>
      <c r="AA102" s="8"/>
      <c r="AB102" s="8"/>
      <c r="AC102" s="8"/>
      <c r="AD102" s="8"/>
      <c r="AE102" s="8"/>
      <c r="AF102" s="8"/>
      <c r="AG102" s="8"/>
    </row>
    <row r="103" spans="1:33" customFormat="1" ht="15.75" thickBot="1" x14ac:dyDescent="0.3">
      <c r="A103" s="6">
        <v>100</v>
      </c>
      <c r="B103" s="7"/>
      <c r="C103" s="7"/>
      <c r="D103" s="3"/>
      <c r="E103" s="3"/>
      <c r="F103" s="3"/>
      <c r="G103" s="3"/>
      <c r="H103" s="46"/>
      <c r="I103" s="11"/>
      <c r="J103" s="77"/>
      <c r="K103" s="112"/>
      <c r="L103" s="85"/>
      <c r="M103" s="82"/>
      <c r="N103" s="18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7"/>
      <c r="Z103" s="8"/>
      <c r="AA103" s="8"/>
      <c r="AB103" s="8"/>
      <c r="AC103" s="8"/>
      <c r="AD103" s="8"/>
      <c r="AE103" s="8"/>
      <c r="AF103" s="8"/>
      <c r="AG103" s="8"/>
    </row>
    <row r="104" spans="1:33" customFormat="1" x14ac:dyDescent="0.25">
      <c r="A104" s="6">
        <v>101</v>
      </c>
      <c r="B104" s="7"/>
      <c r="C104" s="7"/>
      <c r="D104" s="3"/>
      <c r="E104" s="3"/>
      <c r="F104" s="3"/>
      <c r="G104" s="3"/>
      <c r="H104" s="46"/>
      <c r="I104" s="11"/>
      <c r="J104" s="11"/>
      <c r="K104" s="78"/>
      <c r="L104" s="78"/>
      <c r="M104" s="78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7"/>
      <c r="Z104" s="8"/>
      <c r="AA104" s="8"/>
      <c r="AB104" s="8"/>
      <c r="AC104" s="8"/>
      <c r="AD104" s="8"/>
      <c r="AE104" s="8"/>
      <c r="AF104" s="8"/>
      <c r="AG104" s="8"/>
    </row>
    <row r="105" spans="1:33" customFormat="1" x14ac:dyDescent="0.25">
      <c r="A105" s="6">
        <v>102</v>
      </c>
      <c r="B105" s="7"/>
      <c r="C105" s="7"/>
      <c r="D105" s="3"/>
      <c r="E105" s="3"/>
      <c r="F105" s="3"/>
      <c r="G105" s="3"/>
      <c r="H105" s="46"/>
      <c r="I105" s="11"/>
      <c r="J105" s="11"/>
      <c r="K105" s="3"/>
      <c r="L105" s="3"/>
      <c r="M105" s="3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7"/>
      <c r="Z105" s="8"/>
      <c r="AA105" s="8"/>
      <c r="AB105" s="8"/>
      <c r="AC105" s="8"/>
      <c r="AD105" s="8"/>
      <c r="AE105" s="8"/>
      <c r="AF105" s="8"/>
      <c r="AG105" s="8"/>
    </row>
    <row r="106" spans="1:33" customFormat="1" x14ac:dyDescent="0.25">
      <c r="A106" s="6">
        <v>103</v>
      </c>
      <c r="B106" s="7"/>
      <c r="C106" s="7"/>
      <c r="D106" s="3"/>
      <c r="E106" s="3"/>
      <c r="F106" s="3"/>
      <c r="G106" s="3"/>
      <c r="H106" s="46"/>
      <c r="I106" s="11"/>
      <c r="J106" s="11"/>
      <c r="K106" s="3"/>
      <c r="L106" s="3"/>
      <c r="M106" s="3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7"/>
      <c r="Z106" s="8"/>
      <c r="AA106" s="8"/>
      <c r="AB106" s="8"/>
      <c r="AC106" s="8"/>
      <c r="AD106" s="8"/>
      <c r="AE106" s="8"/>
      <c r="AF106" s="8"/>
      <c r="AG106" s="8"/>
    </row>
    <row r="107" spans="1:33" customFormat="1" x14ac:dyDescent="0.25">
      <c r="A107" s="6">
        <v>104</v>
      </c>
      <c r="B107" s="7"/>
      <c r="C107" s="7"/>
      <c r="D107" s="3"/>
      <c r="E107" s="3"/>
      <c r="F107" s="3"/>
      <c r="G107" s="3"/>
      <c r="H107" s="46"/>
      <c r="I107" s="11"/>
      <c r="J107" s="11"/>
      <c r="K107" s="3"/>
      <c r="L107" s="3"/>
      <c r="M107" s="3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7"/>
      <c r="Z107" s="8"/>
      <c r="AA107" s="8"/>
      <c r="AB107" s="8"/>
      <c r="AC107" s="8"/>
      <c r="AD107" s="8"/>
      <c r="AE107" s="8"/>
      <c r="AF107" s="8"/>
      <c r="AG107" s="8"/>
    </row>
    <row r="108" spans="1:33" customFormat="1" x14ac:dyDescent="0.25">
      <c r="A108" s="6">
        <v>105</v>
      </c>
      <c r="B108" s="7"/>
      <c r="C108" s="7"/>
      <c r="D108" s="3"/>
      <c r="E108" s="3"/>
      <c r="F108" s="3"/>
      <c r="G108" s="3"/>
      <c r="H108" s="46"/>
      <c r="I108" s="11"/>
      <c r="J108" s="11"/>
      <c r="K108" s="3"/>
      <c r="L108" s="3"/>
      <c r="M108" s="3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7"/>
      <c r="Z108" s="8"/>
      <c r="AA108" s="8"/>
      <c r="AB108" s="8"/>
      <c r="AC108" s="8"/>
      <c r="AD108" s="8"/>
      <c r="AE108" s="8"/>
      <c r="AF108" s="8"/>
      <c r="AG108" s="8"/>
    </row>
    <row r="109" spans="1:33" customFormat="1" x14ac:dyDescent="0.25">
      <c r="A109" s="6">
        <v>106</v>
      </c>
      <c r="B109" s="7"/>
      <c r="C109" s="7"/>
      <c r="D109" s="3"/>
      <c r="E109" s="3"/>
      <c r="F109" s="3"/>
      <c r="G109" s="3"/>
      <c r="H109" s="46"/>
      <c r="I109" s="11"/>
      <c r="J109" s="11"/>
      <c r="K109" s="3"/>
      <c r="L109" s="3"/>
      <c r="M109" s="3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7"/>
      <c r="Z109" s="8"/>
      <c r="AA109" s="8"/>
      <c r="AB109" s="8"/>
      <c r="AC109" s="8"/>
      <c r="AD109" s="8"/>
      <c r="AE109" s="8"/>
      <c r="AF109" s="8"/>
      <c r="AG109" s="8"/>
    </row>
    <row r="110" spans="1:33" customFormat="1" x14ac:dyDescent="0.25">
      <c r="A110" s="6">
        <v>107</v>
      </c>
      <c r="B110" s="4"/>
      <c r="C110" s="4"/>
      <c r="D110" s="3"/>
      <c r="E110" s="3"/>
      <c r="F110" s="3"/>
      <c r="G110" s="3"/>
      <c r="H110" s="46"/>
      <c r="I110" s="11"/>
      <c r="J110" s="11"/>
      <c r="K110" s="3"/>
      <c r="L110" s="3"/>
      <c r="M110" s="3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7"/>
      <c r="Z110" s="8"/>
      <c r="AA110" s="8"/>
      <c r="AB110" s="8"/>
      <c r="AC110" s="8"/>
      <c r="AD110" s="8"/>
      <c r="AE110" s="8"/>
      <c r="AF110" s="8"/>
      <c r="AG110" s="8"/>
    </row>
    <row r="111" spans="1:33" customFormat="1" x14ac:dyDescent="0.25">
      <c r="A111" s="6">
        <v>108</v>
      </c>
      <c r="B111" s="4"/>
      <c r="C111" s="4"/>
      <c r="D111" s="3"/>
      <c r="E111" s="3"/>
      <c r="F111" s="3"/>
      <c r="G111" s="3"/>
      <c r="H111" s="46"/>
      <c r="I111" s="11"/>
      <c r="J111" s="11"/>
      <c r="K111" s="3"/>
      <c r="L111" s="3"/>
      <c r="M111" s="3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7"/>
      <c r="Z111" s="8"/>
      <c r="AA111" s="8"/>
      <c r="AB111" s="8"/>
      <c r="AC111" s="8"/>
      <c r="AD111" s="8"/>
      <c r="AE111" s="8"/>
      <c r="AF111" s="8"/>
      <c r="AG111" s="8"/>
    </row>
    <row r="112" spans="1:33" customFormat="1" x14ac:dyDescent="0.25">
      <c r="A112" s="6">
        <v>109</v>
      </c>
      <c r="B112" s="4"/>
      <c r="C112" s="4"/>
      <c r="D112" s="3"/>
      <c r="E112" s="3"/>
      <c r="F112" s="3"/>
      <c r="G112" s="3"/>
      <c r="H112" s="46"/>
      <c r="I112" s="11"/>
      <c r="J112" s="11"/>
      <c r="K112" s="3"/>
      <c r="L112" s="3"/>
      <c r="M112" s="3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7"/>
      <c r="Z112" s="8"/>
      <c r="AA112" s="8"/>
      <c r="AB112" s="8"/>
      <c r="AC112" s="8"/>
      <c r="AD112" s="8"/>
      <c r="AE112" s="8"/>
      <c r="AF112" s="8"/>
      <c r="AG112" s="8"/>
    </row>
    <row r="113" spans="1:33" customFormat="1" x14ac:dyDescent="0.25">
      <c r="A113" s="6">
        <v>110</v>
      </c>
      <c r="B113" s="4"/>
      <c r="C113" s="4"/>
      <c r="D113" s="3"/>
      <c r="E113" s="3"/>
      <c r="F113" s="3"/>
      <c r="G113" s="3"/>
      <c r="H113" s="46"/>
      <c r="I113" s="11"/>
      <c r="J113" s="11"/>
      <c r="K113" s="3"/>
      <c r="L113" s="3"/>
      <c r="M113" s="3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7"/>
      <c r="Z113" s="8"/>
      <c r="AA113" s="8"/>
      <c r="AB113" s="8"/>
      <c r="AC113" s="8"/>
      <c r="AD113" s="8"/>
      <c r="AE113" s="8"/>
      <c r="AF113" s="8"/>
      <c r="AG113" s="8"/>
    </row>
    <row r="114" spans="1:33" customFormat="1" x14ac:dyDescent="0.25">
      <c r="A114" s="6">
        <v>111</v>
      </c>
      <c r="B114" s="4"/>
      <c r="C114" s="4"/>
      <c r="D114" s="3"/>
      <c r="E114" s="3"/>
      <c r="F114" s="3"/>
      <c r="G114" s="3"/>
      <c r="H114" s="46"/>
      <c r="I114" s="11"/>
      <c r="J114" s="11"/>
      <c r="K114" s="3"/>
      <c r="L114" s="3"/>
      <c r="M114" s="3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7"/>
      <c r="Z114" s="8"/>
      <c r="AA114" s="8"/>
      <c r="AB114" s="8"/>
      <c r="AC114" s="8"/>
      <c r="AD114" s="8"/>
      <c r="AE114" s="8"/>
      <c r="AF114" s="8"/>
      <c r="AG114" s="8"/>
    </row>
    <row r="115" spans="1:33" customFormat="1" x14ac:dyDescent="0.25">
      <c r="A115" s="6">
        <v>112</v>
      </c>
      <c r="B115" s="4"/>
      <c r="C115" s="4"/>
      <c r="D115" s="3"/>
      <c r="E115" s="3"/>
      <c r="F115" s="3"/>
      <c r="G115" s="3"/>
      <c r="H115" s="46"/>
      <c r="I115" s="11"/>
      <c r="J115" s="11"/>
      <c r="K115" s="3"/>
      <c r="L115" s="3"/>
      <c r="M115" s="3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7"/>
      <c r="Z115" s="8"/>
      <c r="AA115" s="8"/>
      <c r="AB115" s="8"/>
      <c r="AC115" s="8"/>
      <c r="AD115" s="8"/>
      <c r="AE115" s="8"/>
      <c r="AF115" s="8"/>
      <c r="AG115" s="8"/>
    </row>
    <row r="116" spans="1:33" customFormat="1" x14ac:dyDescent="0.25">
      <c r="A116" s="6">
        <v>113</v>
      </c>
      <c r="B116" s="4"/>
      <c r="C116" s="4"/>
      <c r="D116" s="3"/>
      <c r="E116" s="3"/>
      <c r="F116" s="3"/>
      <c r="G116" s="3"/>
      <c r="H116" s="46"/>
      <c r="I116" s="11"/>
      <c r="J116" s="11"/>
      <c r="K116" s="3"/>
      <c r="L116" s="3"/>
      <c r="M116" s="3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7"/>
      <c r="Z116" s="8"/>
      <c r="AA116" s="8"/>
      <c r="AB116" s="8"/>
      <c r="AC116" s="8"/>
      <c r="AD116" s="8"/>
      <c r="AE116" s="8"/>
      <c r="AF116" s="8"/>
      <c r="AG116" s="8"/>
    </row>
    <row r="117" spans="1:33" customFormat="1" x14ac:dyDescent="0.25">
      <c r="A117" s="6">
        <v>114</v>
      </c>
      <c r="B117" s="4"/>
      <c r="C117" s="4"/>
      <c r="D117" s="3"/>
      <c r="E117" s="3"/>
      <c r="F117" s="3"/>
      <c r="G117" s="3"/>
      <c r="H117" s="46"/>
      <c r="I117" s="11"/>
      <c r="J117" s="11"/>
      <c r="K117" s="3"/>
      <c r="L117" s="3"/>
      <c r="M117" s="3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7"/>
      <c r="Z117" s="8"/>
      <c r="AA117" s="8"/>
      <c r="AB117" s="8"/>
      <c r="AC117" s="8"/>
      <c r="AD117" s="8"/>
      <c r="AE117" s="8"/>
      <c r="AF117" s="8"/>
      <c r="AG117" s="8"/>
    </row>
    <row r="118" spans="1:33" customFormat="1" x14ac:dyDescent="0.25">
      <c r="A118" s="6">
        <v>115</v>
      </c>
      <c r="B118" s="4"/>
      <c r="C118" s="4"/>
      <c r="D118" s="3"/>
      <c r="E118" s="3"/>
      <c r="F118" s="3"/>
      <c r="G118" s="3"/>
      <c r="H118" s="46"/>
      <c r="I118" s="11"/>
      <c r="J118" s="11"/>
      <c r="K118" s="3"/>
      <c r="L118" s="3"/>
      <c r="M118" s="3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7"/>
      <c r="Z118" s="8"/>
      <c r="AA118" s="8"/>
      <c r="AB118" s="8"/>
      <c r="AC118" s="8"/>
      <c r="AD118" s="8"/>
      <c r="AE118" s="8"/>
      <c r="AF118" s="8"/>
      <c r="AG118" s="8"/>
    </row>
    <row r="119" spans="1:33" customFormat="1" x14ac:dyDescent="0.25">
      <c r="A119" s="6">
        <v>116</v>
      </c>
      <c r="B119" s="4"/>
      <c r="C119" s="4"/>
      <c r="D119" s="3"/>
      <c r="E119" s="3"/>
      <c r="F119" s="3"/>
      <c r="G119" s="3"/>
      <c r="H119" s="46"/>
      <c r="I119" s="11"/>
      <c r="J119" s="11"/>
      <c r="K119" s="3"/>
      <c r="L119" s="3"/>
      <c r="M119" s="3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7"/>
      <c r="Z119" s="8"/>
      <c r="AA119" s="8"/>
      <c r="AB119" s="8"/>
      <c r="AC119" s="8"/>
      <c r="AD119" s="8"/>
      <c r="AE119" s="8"/>
      <c r="AF119" s="8"/>
      <c r="AG119" s="8"/>
    </row>
    <row r="120" spans="1:33" customFormat="1" x14ac:dyDescent="0.25">
      <c r="A120" s="6">
        <v>117</v>
      </c>
      <c r="B120" s="4"/>
      <c r="C120" s="4"/>
      <c r="D120" s="3"/>
      <c r="E120" s="3"/>
      <c r="F120" s="3"/>
      <c r="G120" s="3"/>
      <c r="H120" s="46"/>
      <c r="I120" s="11"/>
      <c r="J120" s="11"/>
      <c r="K120" s="3"/>
      <c r="L120" s="3"/>
      <c r="M120" s="3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7"/>
      <c r="Z120" s="8"/>
      <c r="AA120" s="8"/>
      <c r="AB120" s="8"/>
      <c r="AC120" s="8"/>
      <c r="AD120" s="8"/>
      <c r="AE120" s="8"/>
      <c r="AF120" s="8"/>
      <c r="AG120" s="8"/>
    </row>
    <row r="121" spans="1:33" customFormat="1" x14ac:dyDescent="0.25">
      <c r="A121" s="6">
        <v>118</v>
      </c>
      <c r="B121" s="4"/>
      <c r="C121" s="4"/>
      <c r="D121" s="3"/>
      <c r="E121" s="3"/>
      <c r="F121" s="3"/>
      <c r="G121" s="3"/>
      <c r="H121" s="46"/>
      <c r="I121" s="11"/>
      <c r="J121" s="11"/>
      <c r="K121" s="3"/>
      <c r="L121" s="3"/>
      <c r="M121" s="3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7"/>
      <c r="Z121" s="8"/>
      <c r="AA121" s="8"/>
      <c r="AB121" s="8"/>
      <c r="AC121" s="8"/>
      <c r="AD121" s="8"/>
      <c r="AE121" s="8"/>
      <c r="AF121" s="8"/>
      <c r="AG121" s="8"/>
    </row>
    <row r="122" spans="1:33" customFormat="1" x14ac:dyDescent="0.25">
      <c r="A122" s="6">
        <v>119</v>
      </c>
      <c r="B122" s="4"/>
      <c r="C122" s="4"/>
      <c r="D122" s="3"/>
      <c r="E122" s="3"/>
      <c r="F122" s="3"/>
      <c r="G122" s="3"/>
      <c r="H122" s="46"/>
      <c r="I122" s="11"/>
      <c r="J122" s="11"/>
      <c r="K122" s="3"/>
      <c r="L122" s="3"/>
      <c r="M122" s="3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7"/>
      <c r="Z122" s="8"/>
      <c r="AA122" s="8"/>
      <c r="AB122" s="8"/>
      <c r="AC122" s="8"/>
      <c r="AD122" s="8"/>
      <c r="AE122" s="8"/>
      <c r="AF122" s="8"/>
      <c r="AG122" s="8"/>
    </row>
    <row r="123" spans="1:33" customFormat="1" x14ac:dyDescent="0.25">
      <c r="A123" s="6">
        <v>120</v>
      </c>
      <c r="B123" s="4"/>
      <c r="C123" s="4"/>
      <c r="D123" s="3"/>
      <c r="E123" s="3"/>
      <c r="F123" s="3"/>
      <c r="G123" s="3"/>
      <c r="H123" s="46"/>
      <c r="I123" s="11"/>
      <c r="J123" s="11"/>
      <c r="K123" s="3"/>
      <c r="L123" s="3"/>
      <c r="M123" s="3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7"/>
      <c r="Z123" s="8"/>
      <c r="AA123" s="8"/>
      <c r="AB123" s="8"/>
      <c r="AC123" s="8"/>
      <c r="AD123" s="8"/>
      <c r="AE123" s="8"/>
      <c r="AF123" s="8"/>
      <c r="AG123" s="8"/>
    </row>
    <row r="124" spans="1:33" customFormat="1" x14ac:dyDescent="0.25">
      <c r="A124" s="6">
        <v>121</v>
      </c>
      <c r="B124" s="4"/>
      <c r="C124" s="4"/>
      <c r="D124" s="3"/>
      <c r="E124" s="3"/>
      <c r="F124" s="3"/>
      <c r="G124" s="3"/>
      <c r="H124" s="46"/>
      <c r="I124" s="11"/>
      <c r="J124" s="11"/>
      <c r="K124" s="3"/>
      <c r="L124" s="3"/>
      <c r="M124" s="3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7"/>
      <c r="Z124" s="8"/>
      <c r="AA124" s="8"/>
      <c r="AB124" s="8"/>
      <c r="AC124" s="8"/>
      <c r="AD124" s="8"/>
      <c r="AE124" s="8"/>
      <c r="AF124" s="8"/>
      <c r="AG124" s="8"/>
    </row>
    <row r="125" spans="1:33" customFormat="1" x14ac:dyDescent="0.25">
      <c r="A125" s="6">
        <v>122</v>
      </c>
      <c r="B125" s="4"/>
      <c r="C125" s="4"/>
      <c r="D125" s="3"/>
      <c r="E125" s="3"/>
      <c r="F125" s="3"/>
      <c r="G125" s="3"/>
      <c r="H125" s="46"/>
      <c r="I125" s="11"/>
      <c r="J125" s="11"/>
      <c r="K125" s="3"/>
      <c r="L125" s="3"/>
      <c r="M125" s="3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7"/>
      <c r="Z125" s="8"/>
      <c r="AA125" s="8"/>
      <c r="AB125" s="8"/>
      <c r="AC125" s="8"/>
      <c r="AD125" s="8"/>
      <c r="AE125" s="8"/>
      <c r="AF125" s="8"/>
      <c r="AG125" s="8"/>
    </row>
    <row r="126" spans="1:33" customFormat="1" x14ac:dyDescent="0.25">
      <c r="A126" s="6">
        <v>123</v>
      </c>
      <c r="B126" s="4"/>
      <c r="C126" s="4"/>
      <c r="D126" s="3"/>
      <c r="E126" s="3"/>
      <c r="F126" s="3"/>
      <c r="G126" s="3"/>
      <c r="H126" s="46"/>
      <c r="I126" s="11"/>
      <c r="J126" s="11"/>
      <c r="K126" s="3"/>
      <c r="L126" s="3"/>
      <c r="M126" s="3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7"/>
      <c r="Z126" s="8"/>
      <c r="AA126" s="8"/>
      <c r="AB126" s="8"/>
      <c r="AC126" s="8"/>
      <c r="AD126" s="8"/>
      <c r="AE126" s="8"/>
      <c r="AF126" s="8"/>
      <c r="AG126" s="8"/>
    </row>
    <row r="127" spans="1:33" customFormat="1" x14ac:dyDescent="0.25">
      <c r="A127" s="6">
        <v>124</v>
      </c>
      <c r="B127" s="4"/>
      <c r="C127" s="4"/>
      <c r="D127" s="3"/>
      <c r="E127" s="3"/>
      <c r="F127" s="3"/>
      <c r="G127" s="3"/>
      <c r="H127" s="46"/>
      <c r="I127" s="11"/>
      <c r="J127" s="11"/>
      <c r="K127" s="3"/>
      <c r="L127" s="3"/>
      <c r="M127" s="3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7"/>
      <c r="Z127" s="8"/>
      <c r="AA127" s="8"/>
      <c r="AB127" s="8"/>
      <c r="AC127" s="8"/>
      <c r="AD127" s="8"/>
      <c r="AE127" s="8"/>
      <c r="AF127" s="8"/>
      <c r="AG127" s="8"/>
    </row>
    <row r="128" spans="1:33" customFormat="1" x14ac:dyDescent="0.25">
      <c r="A128" s="6">
        <v>125</v>
      </c>
      <c r="B128" s="4"/>
      <c r="C128" s="4"/>
      <c r="D128" s="3"/>
      <c r="E128" s="3"/>
      <c r="F128" s="3"/>
      <c r="G128" s="3"/>
      <c r="H128" s="46"/>
      <c r="I128" s="11"/>
      <c r="J128" s="11"/>
      <c r="K128" s="3"/>
      <c r="L128" s="3"/>
      <c r="M128" s="3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7"/>
      <c r="Z128" s="8"/>
      <c r="AA128" s="8"/>
      <c r="AB128" s="8"/>
      <c r="AC128" s="8"/>
      <c r="AD128" s="8"/>
      <c r="AE128" s="8"/>
      <c r="AF128" s="8"/>
      <c r="AG128" s="8"/>
    </row>
    <row r="129" spans="1:33" customFormat="1" x14ac:dyDescent="0.25">
      <c r="A129" s="6">
        <v>126</v>
      </c>
      <c r="B129" s="4"/>
      <c r="C129" s="4"/>
      <c r="D129" s="3"/>
      <c r="E129" s="3"/>
      <c r="F129" s="3"/>
      <c r="G129" s="3"/>
      <c r="H129" s="46"/>
      <c r="I129" s="11"/>
      <c r="J129" s="11"/>
      <c r="K129" s="3"/>
      <c r="L129" s="3"/>
      <c r="M129" s="3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7"/>
      <c r="Z129" s="8"/>
      <c r="AA129" s="8"/>
      <c r="AB129" s="8"/>
      <c r="AC129" s="8"/>
      <c r="AD129" s="8"/>
      <c r="AE129" s="8"/>
      <c r="AF129" s="8"/>
      <c r="AG129" s="8"/>
    </row>
    <row r="130" spans="1:33" customFormat="1" x14ac:dyDescent="0.25">
      <c r="A130" s="6">
        <v>127</v>
      </c>
      <c r="B130" s="4"/>
      <c r="C130" s="4"/>
      <c r="D130" s="3"/>
      <c r="E130" s="3"/>
      <c r="F130" s="3"/>
      <c r="G130" s="3"/>
      <c r="H130" s="46"/>
      <c r="I130" s="11"/>
      <c r="J130" s="11"/>
      <c r="K130" s="3"/>
      <c r="L130" s="3"/>
      <c r="M130" s="3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7"/>
      <c r="Z130" s="8"/>
      <c r="AA130" s="8"/>
      <c r="AB130" s="8"/>
      <c r="AC130" s="8"/>
      <c r="AD130" s="8"/>
      <c r="AE130" s="8"/>
      <c r="AF130" s="8"/>
      <c r="AG130" s="8"/>
    </row>
    <row r="131" spans="1:33" customFormat="1" x14ac:dyDescent="0.25">
      <c r="A131" s="6">
        <v>128</v>
      </c>
      <c r="B131" s="4"/>
      <c r="C131" s="4"/>
      <c r="D131" s="3"/>
      <c r="E131" s="3"/>
      <c r="F131" s="3"/>
      <c r="G131" s="3"/>
      <c r="H131" s="46"/>
      <c r="I131" s="11"/>
      <c r="J131" s="11"/>
      <c r="K131" s="3"/>
      <c r="L131" s="3"/>
      <c r="M131" s="3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7"/>
      <c r="Z131" s="8"/>
      <c r="AA131" s="8"/>
      <c r="AB131" s="8"/>
      <c r="AC131" s="8"/>
      <c r="AD131" s="8"/>
      <c r="AE131" s="8"/>
      <c r="AF131" s="8"/>
      <c r="AG131" s="8"/>
    </row>
    <row r="132" spans="1:33" customFormat="1" x14ac:dyDescent="0.25">
      <c r="A132" s="6">
        <v>129</v>
      </c>
      <c r="B132" s="4"/>
      <c r="C132" s="4"/>
      <c r="D132" s="3"/>
      <c r="E132" s="3"/>
      <c r="F132" s="3"/>
      <c r="G132" s="3"/>
      <c r="H132" s="46"/>
      <c r="I132" s="11"/>
      <c r="J132" s="11"/>
      <c r="K132" s="3"/>
      <c r="L132" s="3"/>
      <c r="M132" s="3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7"/>
      <c r="Z132" s="8"/>
      <c r="AA132" s="8"/>
      <c r="AB132" s="8"/>
      <c r="AC132" s="8"/>
      <c r="AD132" s="8"/>
      <c r="AE132" s="8"/>
      <c r="AF132" s="8"/>
      <c r="AG132" s="8"/>
    </row>
    <row r="133" spans="1:33" customFormat="1" x14ac:dyDescent="0.25">
      <c r="A133" s="6">
        <v>130</v>
      </c>
      <c r="B133" s="4"/>
      <c r="C133" s="4"/>
      <c r="D133" s="3"/>
      <c r="E133" s="3"/>
      <c r="F133" s="3"/>
      <c r="G133" s="3"/>
      <c r="H133" s="46"/>
      <c r="I133" s="11"/>
      <c r="J133" s="11"/>
      <c r="K133" s="3"/>
      <c r="L133" s="3"/>
      <c r="M133" s="3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7"/>
      <c r="Z133" s="8"/>
      <c r="AA133" s="8"/>
      <c r="AB133" s="8"/>
      <c r="AC133" s="8"/>
      <c r="AD133" s="8"/>
      <c r="AE133" s="8"/>
      <c r="AF133" s="8"/>
      <c r="AG133" s="8"/>
    </row>
    <row r="134" spans="1:33" customFormat="1" x14ac:dyDescent="0.25">
      <c r="A134" s="6">
        <v>131</v>
      </c>
      <c r="B134" s="4"/>
      <c r="C134" s="4"/>
      <c r="D134" s="3"/>
      <c r="E134" s="3"/>
      <c r="F134" s="3"/>
      <c r="G134" s="3"/>
      <c r="H134" s="46"/>
      <c r="I134" s="11"/>
      <c r="J134" s="11"/>
      <c r="K134" s="3"/>
      <c r="L134" s="3"/>
      <c r="M134" s="3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7"/>
      <c r="Z134" s="8"/>
      <c r="AA134" s="8"/>
      <c r="AB134" s="8"/>
      <c r="AC134" s="8"/>
      <c r="AD134" s="8"/>
      <c r="AE134" s="8"/>
      <c r="AF134" s="8"/>
      <c r="AG134" s="8"/>
    </row>
    <row r="135" spans="1:33" customFormat="1" x14ac:dyDescent="0.25">
      <c r="A135" s="6">
        <v>132</v>
      </c>
      <c r="B135" s="4"/>
      <c r="C135" s="4"/>
      <c r="D135" s="3"/>
      <c r="E135" s="3"/>
      <c r="F135" s="3"/>
      <c r="G135" s="3"/>
      <c r="H135" s="46"/>
      <c r="I135" s="11"/>
      <c r="J135" s="11"/>
      <c r="K135" s="3"/>
      <c r="L135" s="3"/>
      <c r="M135" s="3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7"/>
      <c r="Z135" s="8"/>
      <c r="AA135" s="8"/>
      <c r="AB135" s="8"/>
      <c r="AC135" s="8"/>
      <c r="AD135" s="8"/>
      <c r="AE135" s="8"/>
      <c r="AF135" s="8"/>
      <c r="AG135" s="8"/>
    </row>
    <row r="136" spans="1:33" customFormat="1" x14ac:dyDescent="0.25">
      <c r="A136" s="6">
        <v>133</v>
      </c>
      <c r="B136" s="4"/>
      <c r="C136" s="4"/>
      <c r="D136" s="3"/>
      <c r="E136" s="3"/>
      <c r="F136" s="3"/>
      <c r="G136" s="3"/>
      <c r="H136" s="46"/>
      <c r="I136" s="11"/>
      <c r="J136" s="11"/>
      <c r="K136" s="3"/>
      <c r="L136" s="3"/>
      <c r="M136" s="3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7"/>
      <c r="Z136" s="8"/>
      <c r="AA136" s="8"/>
      <c r="AB136" s="8"/>
      <c r="AC136" s="8"/>
      <c r="AD136" s="8"/>
      <c r="AE136" s="8"/>
      <c r="AF136" s="8"/>
      <c r="AG136" s="8"/>
    </row>
    <row r="137" spans="1:33" customFormat="1" x14ac:dyDescent="0.25">
      <c r="A137" s="6">
        <v>134</v>
      </c>
      <c r="B137" s="4"/>
      <c r="C137" s="4"/>
      <c r="D137" s="3"/>
      <c r="E137" s="3"/>
      <c r="F137" s="3"/>
      <c r="G137" s="3"/>
      <c r="H137" s="46"/>
      <c r="I137" s="11"/>
      <c r="J137" s="11"/>
      <c r="K137" s="3"/>
      <c r="L137" s="3"/>
      <c r="M137" s="3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7"/>
      <c r="Z137" s="8"/>
      <c r="AA137" s="8"/>
      <c r="AB137" s="8"/>
      <c r="AC137" s="8"/>
      <c r="AD137" s="8"/>
      <c r="AE137" s="8"/>
      <c r="AF137" s="8"/>
      <c r="AG137" s="8"/>
    </row>
    <row r="138" spans="1:33" customFormat="1" x14ac:dyDescent="0.25">
      <c r="A138" s="6">
        <v>135</v>
      </c>
      <c r="B138" s="4"/>
      <c r="C138" s="4"/>
      <c r="D138" s="3"/>
      <c r="E138" s="3"/>
      <c r="F138" s="3"/>
      <c r="G138" s="3"/>
      <c r="H138" s="46"/>
      <c r="I138" s="11"/>
      <c r="J138" s="11"/>
      <c r="K138" s="3"/>
      <c r="L138" s="3"/>
      <c r="M138" s="3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7"/>
      <c r="Z138" s="8"/>
      <c r="AA138" s="8"/>
      <c r="AB138" s="8"/>
      <c r="AC138" s="8"/>
      <c r="AD138" s="8"/>
      <c r="AE138" s="8"/>
      <c r="AF138" s="8"/>
      <c r="AG138" s="8"/>
    </row>
    <row r="139" spans="1:33" x14ac:dyDescent="0.25">
      <c r="A139" s="6">
        <v>136</v>
      </c>
      <c r="B139" s="4"/>
      <c r="C139" s="4"/>
      <c r="D139" s="3"/>
      <c r="E139" s="3"/>
      <c r="F139" s="3"/>
      <c r="G139" s="3"/>
      <c r="H139" s="46"/>
      <c r="I139" s="11"/>
      <c r="J139" s="11"/>
      <c r="K139" s="3"/>
      <c r="L139" s="3"/>
      <c r="M139" s="3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7"/>
      <c r="Z139" s="73"/>
      <c r="AA139" s="73"/>
      <c r="AB139" s="73"/>
      <c r="AC139" s="73"/>
      <c r="AD139" s="73"/>
      <c r="AE139" s="73"/>
      <c r="AF139" s="73"/>
      <c r="AG139" s="73"/>
    </row>
    <row r="140" spans="1:33" x14ac:dyDescent="0.25">
      <c r="A140" s="6">
        <v>137</v>
      </c>
      <c r="B140" s="4"/>
      <c r="C140" s="4"/>
      <c r="D140" s="3"/>
      <c r="E140" s="3"/>
      <c r="F140" s="3"/>
      <c r="G140" s="3"/>
      <c r="H140" s="46"/>
      <c r="I140" s="11"/>
      <c r="J140" s="11"/>
      <c r="K140" s="3"/>
      <c r="L140" s="3"/>
      <c r="M140" s="3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7"/>
      <c r="Z140" s="73"/>
      <c r="AA140" s="73"/>
      <c r="AB140" s="73"/>
      <c r="AC140" s="73"/>
      <c r="AD140" s="73"/>
      <c r="AE140" s="73"/>
      <c r="AF140" s="73"/>
      <c r="AG140" s="73"/>
    </row>
    <row r="141" spans="1:33" x14ac:dyDescent="0.25">
      <c r="A141" s="6">
        <v>138</v>
      </c>
      <c r="B141" s="4"/>
      <c r="C141" s="4"/>
      <c r="D141" s="3"/>
      <c r="E141" s="3"/>
      <c r="F141" s="3"/>
      <c r="G141" s="3"/>
      <c r="H141" s="46"/>
      <c r="I141" s="11"/>
      <c r="J141" s="11"/>
      <c r="K141" s="3"/>
      <c r="L141" s="3"/>
      <c r="M141" s="3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7"/>
      <c r="Z141" s="73"/>
      <c r="AA141" s="73"/>
      <c r="AB141" s="73"/>
      <c r="AC141" s="73"/>
      <c r="AD141" s="73"/>
      <c r="AE141" s="73"/>
      <c r="AF141" s="73"/>
      <c r="AG141" s="73"/>
    </row>
    <row r="142" spans="1:33" x14ac:dyDescent="0.25">
      <c r="A142" s="6">
        <v>139</v>
      </c>
      <c r="B142" s="4"/>
      <c r="C142" s="4"/>
      <c r="D142" s="3"/>
      <c r="E142" s="3"/>
      <c r="F142" s="3"/>
      <c r="G142" s="3"/>
      <c r="H142" s="46"/>
      <c r="I142" s="11"/>
      <c r="J142" s="11"/>
      <c r="K142" s="3"/>
      <c r="L142" s="3"/>
      <c r="M142" s="3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7"/>
      <c r="Z142" s="73"/>
      <c r="AA142" s="73"/>
      <c r="AB142" s="73"/>
      <c r="AC142" s="73"/>
      <c r="AD142" s="73"/>
      <c r="AE142" s="73"/>
      <c r="AF142" s="73"/>
      <c r="AG142" s="73"/>
    </row>
    <row r="143" spans="1:33" x14ac:dyDescent="0.25">
      <c r="A143" s="6">
        <v>140</v>
      </c>
      <c r="B143" s="4"/>
      <c r="C143" s="4"/>
      <c r="D143" s="3"/>
      <c r="E143" s="3"/>
      <c r="F143" s="3"/>
      <c r="G143" s="3"/>
      <c r="H143" s="46"/>
      <c r="I143" s="11"/>
      <c r="J143" s="11"/>
      <c r="K143" s="3"/>
      <c r="L143" s="3"/>
      <c r="M143" s="3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7"/>
      <c r="Z143" s="73"/>
      <c r="AA143" s="73"/>
      <c r="AB143" s="73"/>
      <c r="AC143" s="73"/>
      <c r="AD143" s="73"/>
      <c r="AE143" s="73"/>
      <c r="AF143" s="73"/>
      <c r="AG143" s="73"/>
    </row>
    <row r="144" spans="1:33" x14ac:dyDescent="0.25">
      <c r="A144" s="6">
        <v>141</v>
      </c>
      <c r="B144" s="4"/>
      <c r="C144" s="4"/>
      <c r="D144" s="3"/>
      <c r="E144" s="3"/>
      <c r="F144" s="3"/>
      <c r="G144" s="3"/>
      <c r="H144" s="46"/>
      <c r="I144" s="11"/>
      <c r="J144" s="11"/>
      <c r="K144" s="3"/>
      <c r="L144" s="3"/>
      <c r="M144" s="3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7"/>
      <c r="Z144" s="73"/>
      <c r="AA144" s="73"/>
      <c r="AB144" s="73"/>
      <c r="AC144" s="73"/>
      <c r="AD144" s="73"/>
      <c r="AE144" s="73"/>
      <c r="AF144" s="73"/>
      <c r="AG144" s="73"/>
    </row>
    <row r="145" spans="1:33" x14ac:dyDescent="0.25">
      <c r="A145" s="6">
        <v>142</v>
      </c>
      <c r="B145" s="4"/>
      <c r="C145" s="4"/>
      <c r="D145" s="3"/>
      <c r="E145" s="3"/>
      <c r="F145" s="3"/>
      <c r="G145" s="3"/>
      <c r="H145" s="46"/>
      <c r="I145" s="11"/>
      <c r="J145" s="11"/>
      <c r="K145" s="3"/>
      <c r="L145" s="3"/>
      <c r="M145" s="3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7"/>
      <c r="Z145" s="73"/>
      <c r="AA145" s="73"/>
      <c r="AB145" s="73"/>
      <c r="AC145" s="73"/>
      <c r="AD145" s="73"/>
      <c r="AE145" s="73"/>
      <c r="AF145" s="73"/>
      <c r="AG145" s="73"/>
    </row>
    <row r="146" spans="1:33" x14ac:dyDescent="0.25">
      <c r="A146" s="6">
        <v>143</v>
      </c>
      <c r="B146" s="4"/>
      <c r="C146" s="4"/>
      <c r="D146" s="3"/>
      <c r="E146" s="3"/>
      <c r="F146" s="3"/>
      <c r="G146" s="3"/>
      <c r="H146" s="46"/>
      <c r="I146" s="11"/>
      <c r="J146" s="11"/>
      <c r="K146" s="3"/>
      <c r="L146" s="3"/>
      <c r="M146" s="3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7"/>
      <c r="Z146" s="73"/>
      <c r="AA146" s="73"/>
      <c r="AB146" s="73"/>
      <c r="AC146" s="73"/>
      <c r="AD146" s="73"/>
      <c r="AE146" s="73"/>
      <c r="AF146" s="73"/>
      <c r="AG146" s="73"/>
    </row>
    <row r="147" spans="1:33" x14ac:dyDescent="0.25">
      <c r="A147" s="6">
        <v>144</v>
      </c>
      <c r="B147" s="4"/>
      <c r="C147" s="4"/>
      <c r="D147" s="3"/>
      <c r="E147" s="3"/>
      <c r="F147" s="3"/>
      <c r="G147" s="3"/>
      <c r="H147" s="46"/>
      <c r="I147" s="11"/>
      <c r="J147" s="11"/>
      <c r="K147" s="3"/>
      <c r="L147" s="3"/>
      <c r="M147" s="3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7"/>
      <c r="Z147" s="73"/>
      <c r="AA147" s="73"/>
      <c r="AB147" s="73"/>
      <c r="AC147" s="73"/>
      <c r="AD147" s="73"/>
      <c r="AE147" s="73"/>
      <c r="AF147" s="73"/>
      <c r="AG147" s="73"/>
    </row>
    <row r="148" spans="1:33" x14ac:dyDescent="0.25">
      <c r="A148" s="6">
        <v>145</v>
      </c>
      <c r="B148" s="4"/>
      <c r="C148" s="4"/>
      <c r="D148" s="3"/>
      <c r="E148" s="3"/>
      <c r="F148" s="3"/>
      <c r="G148" s="3"/>
      <c r="H148" s="46"/>
      <c r="I148" s="11"/>
      <c r="J148" s="11"/>
      <c r="K148" s="3"/>
      <c r="L148" s="3"/>
      <c r="M148" s="3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7"/>
      <c r="Z148" s="73"/>
      <c r="AA148" s="73"/>
      <c r="AB148" s="73"/>
      <c r="AC148" s="73"/>
      <c r="AD148" s="73"/>
      <c r="AE148" s="73"/>
      <c r="AF148" s="73"/>
      <c r="AG148" s="73"/>
    </row>
    <row r="149" spans="1:33" x14ac:dyDescent="0.25">
      <c r="A149" s="6">
        <v>146</v>
      </c>
      <c r="B149" s="4"/>
      <c r="C149" s="4"/>
      <c r="D149" s="3"/>
      <c r="E149" s="3"/>
      <c r="F149" s="3"/>
      <c r="G149" s="3"/>
      <c r="H149" s="46"/>
      <c r="I149" s="11"/>
      <c r="J149" s="11"/>
      <c r="K149" s="3"/>
      <c r="L149" s="3"/>
      <c r="M149" s="3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7"/>
      <c r="Z149" s="73"/>
      <c r="AA149" s="73"/>
      <c r="AB149" s="73"/>
      <c r="AC149" s="73"/>
      <c r="AD149" s="73"/>
      <c r="AE149" s="73"/>
      <c r="AF149" s="73"/>
      <c r="AG149" s="73"/>
    </row>
    <row r="150" spans="1:33" x14ac:dyDescent="0.25">
      <c r="A150" s="6">
        <v>147</v>
      </c>
      <c r="B150" s="4"/>
      <c r="C150" s="4"/>
      <c r="D150" s="3"/>
      <c r="E150" s="3"/>
      <c r="F150" s="3"/>
      <c r="G150" s="3"/>
      <c r="H150" s="46"/>
      <c r="I150" s="11"/>
      <c r="J150" s="11"/>
      <c r="K150" s="3"/>
      <c r="L150" s="3"/>
      <c r="M150" s="3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7"/>
      <c r="Z150" s="73"/>
      <c r="AA150" s="73"/>
      <c r="AB150" s="73"/>
      <c r="AC150" s="73"/>
      <c r="AD150" s="73"/>
      <c r="AE150" s="73"/>
      <c r="AF150" s="73"/>
      <c r="AG150" s="73"/>
    </row>
    <row r="151" spans="1:33" x14ac:dyDescent="0.25">
      <c r="A151" s="6">
        <v>148</v>
      </c>
      <c r="B151" s="4"/>
      <c r="C151" s="4"/>
      <c r="D151" s="3"/>
      <c r="E151" s="3"/>
      <c r="F151" s="3"/>
      <c r="G151" s="3"/>
      <c r="H151" s="46"/>
      <c r="I151" s="11"/>
      <c r="J151" s="11"/>
      <c r="K151" s="3"/>
      <c r="L151" s="3"/>
      <c r="M151" s="3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7"/>
      <c r="Z151" s="73"/>
      <c r="AA151" s="73"/>
      <c r="AB151" s="73"/>
      <c r="AC151" s="73"/>
      <c r="AD151" s="73"/>
      <c r="AE151" s="73"/>
      <c r="AF151" s="73"/>
      <c r="AG151" s="73"/>
    </row>
    <row r="152" spans="1:33" x14ac:dyDescent="0.25">
      <c r="A152" s="6">
        <v>149</v>
      </c>
      <c r="B152" s="4"/>
      <c r="C152" s="4"/>
      <c r="D152" s="3"/>
      <c r="E152" s="3"/>
      <c r="F152" s="3"/>
      <c r="G152" s="3"/>
      <c r="H152" s="46"/>
      <c r="I152" s="11"/>
      <c r="J152" s="11"/>
      <c r="K152" s="3"/>
      <c r="L152" s="3"/>
      <c r="M152" s="3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7"/>
      <c r="Z152" s="73"/>
      <c r="AA152" s="73"/>
      <c r="AB152" s="73"/>
      <c r="AC152" s="73"/>
      <c r="AD152" s="73"/>
      <c r="AE152" s="73"/>
      <c r="AF152" s="73"/>
      <c r="AG152" s="73"/>
    </row>
    <row r="153" spans="1:33" x14ac:dyDescent="0.25">
      <c r="A153" s="6">
        <v>150</v>
      </c>
      <c r="B153" s="4"/>
      <c r="C153" s="4"/>
      <c r="D153" s="3"/>
      <c r="E153" s="3"/>
      <c r="F153" s="3"/>
      <c r="G153" s="3"/>
      <c r="H153" s="46"/>
      <c r="I153" s="11"/>
      <c r="J153" s="11"/>
      <c r="K153" s="3"/>
      <c r="L153" s="3"/>
      <c r="M153" s="3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7"/>
      <c r="Z153" s="73"/>
      <c r="AA153" s="73"/>
      <c r="AB153" s="73"/>
      <c r="AC153" s="73"/>
      <c r="AD153" s="73"/>
      <c r="AE153" s="73"/>
      <c r="AF153" s="73"/>
      <c r="AG153" s="73"/>
    </row>
    <row r="154" spans="1:33" x14ac:dyDescent="0.25">
      <c r="A154" s="6">
        <v>151</v>
      </c>
      <c r="B154" s="4"/>
      <c r="C154" s="4"/>
      <c r="D154" s="3"/>
      <c r="E154" s="3"/>
      <c r="F154" s="3"/>
      <c r="G154" s="3"/>
      <c r="H154" s="46"/>
      <c r="I154" s="11"/>
      <c r="J154" s="11"/>
      <c r="K154" s="3"/>
      <c r="L154" s="3"/>
      <c r="M154" s="3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7"/>
      <c r="Z154" s="73"/>
      <c r="AA154" s="73"/>
      <c r="AB154" s="73"/>
      <c r="AC154" s="73"/>
      <c r="AD154" s="73"/>
      <c r="AE154" s="73"/>
      <c r="AF154" s="73"/>
      <c r="AG154" s="73"/>
    </row>
    <row r="155" spans="1:33" x14ac:dyDescent="0.25">
      <c r="A155" s="6">
        <v>152</v>
      </c>
      <c r="B155" s="4"/>
      <c r="C155" s="4"/>
      <c r="D155" s="3"/>
      <c r="E155" s="3"/>
      <c r="F155" s="3"/>
      <c r="G155" s="3"/>
      <c r="H155" s="46"/>
      <c r="I155" s="11"/>
      <c r="J155" s="11"/>
      <c r="K155" s="3"/>
      <c r="L155" s="3"/>
      <c r="M155" s="3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7"/>
      <c r="Z155" s="73"/>
      <c r="AA155" s="73"/>
      <c r="AB155" s="73"/>
      <c r="AC155" s="73"/>
      <c r="AD155" s="73"/>
      <c r="AE155" s="73"/>
      <c r="AF155" s="73"/>
      <c r="AG155" s="73"/>
    </row>
    <row r="156" spans="1:33" x14ac:dyDescent="0.25">
      <c r="A156" s="6">
        <v>153</v>
      </c>
      <c r="B156" s="4"/>
      <c r="C156" s="4"/>
      <c r="D156" s="3"/>
      <c r="E156" s="3"/>
      <c r="F156" s="3"/>
      <c r="G156" s="3"/>
      <c r="H156" s="46"/>
      <c r="I156" s="11"/>
      <c r="J156" s="11"/>
      <c r="K156" s="3"/>
      <c r="L156" s="3"/>
      <c r="M156" s="3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7"/>
      <c r="Z156" s="73"/>
      <c r="AA156" s="73"/>
      <c r="AB156" s="73"/>
      <c r="AC156" s="73"/>
      <c r="AD156" s="73"/>
      <c r="AE156" s="73"/>
      <c r="AF156" s="73"/>
      <c r="AG156" s="73"/>
    </row>
    <row r="157" spans="1:33" x14ac:dyDescent="0.25">
      <c r="A157" s="6">
        <v>154</v>
      </c>
      <c r="B157" s="4"/>
      <c r="C157" s="4"/>
      <c r="D157" s="3"/>
      <c r="E157" s="3"/>
      <c r="F157" s="3"/>
      <c r="G157" s="3"/>
      <c r="H157" s="46"/>
      <c r="I157" s="11"/>
      <c r="J157" s="11"/>
      <c r="K157" s="3"/>
      <c r="L157" s="3"/>
      <c r="M157" s="3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7"/>
      <c r="Z157" s="73"/>
      <c r="AA157" s="73"/>
      <c r="AB157" s="73"/>
      <c r="AC157" s="73"/>
      <c r="AD157" s="73"/>
      <c r="AE157" s="73"/>
      <c r="AF157" s="73"/>
      <c r="AG157" s="73"/>
    </row>
    <row r="158" spans="1:33" x14ac:dyDescent="0.25">
      <c r="A158" s="6">
        <v>155</v>
      </c>
      <c r="B158" s="4"/>
      <c r="C158" s="4"/>
      <c r="D158" s="3"/>
      <c r="E158" s="3"/>
      <c r="F158" s="3"/>
      <c r="G158" s="3"/>
      <c r="H158" s="46"/>
      <c r="I158" s="11"/>
      <c r="J158" s="11"/>
      <c r="K158" s="3"/>
      <c r="L158" s="3"/>
      <c r="M158" s="3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7"/>
      <c r="Z158" s="73"/>
      <c r="AA158" s="73"/>
      <c r="AB158" s="73"/>
      <c r="AC158" s="73"/>
      <c r="AD158" s="73"/>
      <c r="AE158" s="73"/>
      <c r="AF158" s="73"/>
      <c r="AG158" s="73"/>
    </row>
    <row r="159" spans="1:33" x14ac:dyDescent="0.25">
      <c r="A159" s="6">
        <v>156</v>
      </c>
      <c r="B159" s="4"/>
      <c r="C159" s="4"/>
      <c r="D159" s="3"/>
      <c r="E159" s="3"/>
      <c r="F159" s="3"/>
      <c r="G159" s="3"/>
      <c r="H159" s="46"/>
      <c r="I159" s="11"/>
      <c r="J159" s="11"/>
      <c r="K159" s="3"/>
      <c r="L159" s="3"/>
      <c r="M159" s="3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7"/>
      <c r="Z159" s="73"/>
      <c r="AA159" s="73"/>
      <c r="AB159" s="73"/>
      <c r="AC159" s="73"/>
      <c r="AD159" s="73"/>
      <c r="AE159" s="73"/>
      <c r="AF159" s="73"/>
      <c r="AG159" s="73"/>
    </row>
    <row r="160" spans="1:33" x14ac:dyDescent="0.25">
      <c r="A160" s="6">
        <v>157</v>
      </c>
      <c r="B160" s="4"/>
      <c r="C160" s="4"/>
      <c r="D160" s="3"/>
      <c r="E160" s="3"/>
      <c r="F160" s="3"/>
      <c r="G160" s="3"/>
      <c r="H160" s="46"/>
      <c r="I160" s="11"/>
      <c r="J160" s="11"/>
      <c r="K160" s="3"/>
      <c r="L160" s="3"/>
      <c r="M160" s="3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7"/>
      <c r="Z160" s="73"/>
      <c r="AA160" s="73"/>
      <c r="AB160" s="73"/>
      <c r="AC160" s="73"/>
      <c r="AD160" s="73"/>
      <c r="AE160" s="73"/>
      <c r="AF160" s="73"/>
      <c r="AG160" s="73"/>
    </row>
    <row r="161" spans="1:33" x14ac:dyDescent="0.25">
      <c r="A161" s="6">
        <v>158</v>
      </c>
      <c r="B161" s="4"/>
      <c r="C161" s="4"/>
      <c r="D161" s="3"/>
      <c r="E161" s="3"/>
      <c r="F161" s="3"/>
      <c r="G161" s="3"/>
      <c r="H161" s="46"/>
      <c r="I161" s="11"/>
      <c r="J161" s="11"/>
      <c r="K161" s="3"/>
      <c r="L161" s="3"/>
      <c r="M161" s="3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7"/>
      <c r="Z161" s="73"/>
      <c r="AA161" s="73"/>
      <c r="AB161" s="73"/>
      <c r="AC161" s="73"/>
      <c r="AD161" s="73"/>
      <c r="AE161" s="73"/>
      <c r="AF161" s="73"/>
      <c r="AG161" s="73"/>
    </row>
    <row r="162" spans="1:33" x14ac:dyDescent="0.25">
      <c r="A162" s="6">
        <v>159</v>
      </c>
      <c r="B162" s="4"/>
      <c r="C162" s="4"/>
      <c r="D162" s="3"/>
      <c r="E162" s="3"/>
      <c r="F162" s="3"/>
      <c r="G162" s="3"/>
      <c r="H162" s="46"/>
      <c r="I162" s="11"/>
      <c r="J162" s="11"/>
      <c r="K162" s="3"/>
      <c r="L162" s="3"/>
      <c r="M162" s="3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7"/>
      <c r="Z162" s="73"/>
      <c r="AA162" s="73"/>
      <c r="AB162" s="73"/>
      <c r="AC162" s="73"/>
      <c r="AD162" s="73"/>
      <c r="AE162" s="73"/>
      <c r="AF162" s="73"/>
      <c r="AG162" s="73"/>
    </row>
    <row r="163" spans="1:33" x14ac:dyDescent="0.25">
      <c r="A163" s="6">
        <v>160</v>
      </c>
      <c r="B163" s="4"/>
      <c r="C163" s="4"/>
      <c r="D163" s="3"/>
      <c r="E163" s="3"/>
      <c r="F163" s="3"/>
      <c r="G163" s="3"/>
      <c r="H163" s="46"/>
      <c r="I163" s="11"/>
      <c r="J163" s="11"/>
      <c r="K163" s="3"/>
      <c r="L163" s="3"/>
      <c r="M163" s="3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7"/>
      <c r="Z163" s="73"/>
      <c r="AA163" s="73"/>
      <c r="AB163" s="73"/>
      <c r="AC163" s="73"/>
      <c r="AD163" s="73"/>
      <c r="AE163" s="73"/>
      <c r="AF163" s="73"/>
      <c r="AG163" s="73"/>
    </row>
    <row r="164" spans="1:33" x14ac:dyDescent="0.25">
      <c r="A164" s="6">
        <v>161</v>
      </c>
      <c r="B164" s="4"/>
      <c r="C164" s="4"/>
      <c r="D164" s="3"/>
      <c r="E164" s="3"/>
      <c r="F164" s="3"/>
      <c r="G164" s="3"/>
      <c r="H164" s="46"/>
      <c r="I164" s="11"/>
      <c r="J164" s="11"/>
      <c r="K164" s="3"/>
      <c r="L164" s="3"/>
      <c r="M164" s="3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7"/>
      <c r="Z164" s="73"/>
      <c r="AA164" s="73"/>
      <c r="AB164" s="73"/>
      <c r="AC164" s="73"/>
      <c r="AD164" s="73"/>
      <c r="AE164" s="73"/>
      <c r="AF164" s="73"/>
      <c r="AG164" s="73"/>
    </row>
    <row r="165" spans="1:33" x14ac:dyDescent="0.25">
      <c r="A165" s="6">
        <v>162</v>
      </c>
      <c r="B165" s="4"/>
      <c r="C165" s="4"/>
      <c r="D165" s="3"/>
      <c r="E165" s="3"/>
      <c r="F165" s="3"/>
      <c r="G165" s="3"/>
      <c r="H165" s="46"/>
      <c r="I165" s="11"/>
      <c r="J165" s="11"/>
      <c r="K165" s="3"/>
      <c r="L165" s="3"/>
      <c r="M165" s="3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7"/>
      <c r="Z165" s="73"/>
      <c r="AA165" s="73"/>
      <c r="AB165" s="73"/>
      <c r="AC165" s="73"/>
      <c r="AD165" s="73"/>
      <c r="AE165" s="73"/>
      <c r="AF165" s="73"/>
      <c r="AG165" s="73"/>
    </row>
    <row r="166" spans="1:33" x14ac:dyDescent="0.25">
      <c r="A166" s="6">
        <v>163</v>
      </c>
      <c r="B166" s="4"/>
      <c r="C166" s="4"/>
      <c r="D166" s="3"/>
      <c r="E166" s="3"/>
      <c r="F166" s="3"/>
      <c r="G166" s="3"/>
      <c r="H166" s="46"/>
      <c r="I166" s="11"/>
      <c r="J166" s="11"/>
      <c r="K166" s="3"/>
      <c r="L166" s="3"/>
      <c r="M166" s="3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7"/>
      <c r="Z166" s="73"/>
      <c r="AA166" s="73"/>
      <c r="AB166" s="73"/>
      <c r="AC166" s="73"/>
      <c r="AD166" s="73"/>
      <c r="AE166" s="73"/>
      <c r="AF166" s="73"/>
      <c r="AG166" s="73"/>
    </row>
    <row r="167" spans="1:33" x14ac:dyDescent="0.25">
      <c r="A167" s="6">
        <v>164</v>
      </c>
      <c r="B167" s="4"/>
      <c r="C167" s="4"/>
      <c r="D167" s="3"/>
      <c r="E167" s="3"/>
      <c r="F167" s="3"/>
      <c r="G167" s="3"/>
      <c r="H167" s="46"/>
      <c r="I167" s="11"/>
      <c r="J167" s="11"/>
      <c r="K167" s="3"/>
      <c r="L167" s="3"/>
      <c r="M167" s="3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7"/>
      <c r="Z167" s="73"/>
      <c r="AA167" s="73"/>
      <c r="AB167" s="73"/>
      <c r="AC167" s="73"/>
      <c r="AD167" s="73"/>
      <c r="AE167" s="73"/>
      <c r="AF167" s="73"/>
      <c r="AG167" s="73"/>
    </row>
    <row r="168" spans="1:33" x14ac:dyDescent="0.25">
      <c r="A168" s="6">
        <v>165</v>
      </c>
      <c r="B168" s="4"/>
      <c r="C168" s="4"/>
      <c r="D168" s="3"/>
      <c r="E168" s="3"/>
      <c r="F168" s="3"/>
      <c r="G168" s="3"/>
      <c r="H168" s="46"/>
      <c r="I168" s="11"/>
      <c r="J168" s="11"/>
      <c r="K168" s="3"/>
      <c r="L168" s="3"/>
      <c r="M168" s="3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7"/>
      <c r="Z168" s="73"/>
      <c r="AA168" s="73"/>
      <c r="AB168" s="73"/>
      <c r="AC168" s="73"/>
      <c r="AD168" s="73"/>
      <c r="AE168" s="73"/>
      <c r="AF168" s="73"/>
      <c r="AG168" s="73"/>
    </row>
    <row r="169" spans="1:33" x14ac:dyDescent="0.25">
      <c r="A169" s="6">
        <v>166</v>
      </c>
      <c r="B169" s="4"/>
      <c r="C169" s="4"/>
      <c r="D169" s="3"/>
      <c r="E169" s="3"/>
      <c r="F169" s="3"/>
      <c r="G169" s="3"/>
      <c r="H169" s="46"/>
      <c r="I169" s="11"/>
      <c r="J169" s="11"/>
      <c r="K169" s="3"/>
      <c r="L169" s="3"/>
      <c r="M169" s="3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7"/>
      <c r="Z169" s="73"/>
      <c r="AA169" s="73"/>
      <c r="AB169" s="73"/>
      <c r="AC169" s="73"/>
      <c r="AD169" s="73"/>
      <c r="AE169" s="73"/>
      <c r="AF169" s="73"/>
      <c r="AG169" s="73"/>
    </row>
    <row r="170" spans="1:33" x14ac:dyDescent="0.25">
      <c r="A170" s="6">
        <v>167</v>
      </c>
      <c r="B170" s="4"/>
      <c r="C170" s="4"/>
      <c r="D170" s="3"/>
      <c r="E170" s="3"/>
      <c r="F170" s="3"/>
      <c r="G170" s="3"/>
      <c r="H170" s="46"/>
      <c r="I170" s="11"/>
      <c r="J170" s="11"/>
      <c r="K170" s="3"/>
      <c r="L170" s="3"/>
      <c r="M170" s="3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7"/>
      <c r="Z170" s="73"/>
      <c r="AA170" s="73"/>
      <c r="AB170" s="73"/>
      <c r="AC170" s="73"/>
      <c r="AD170" s="73"/>
      <c r="AE170" s="73"/>
      <c r="AF170" s="73"/>
      <c r="AG170" s="73"/>
    </row>
    <row r="171" spans="1:33" x14ac:dyDescent="0.25">
      <c r="A171" s="6">
        <v>168</v>
      </c>
      <c r="B171" s="4"/>
      <c r="C171" s="4"/>
      <c r="D171" s="3"/>
      <c r="E171" s="3"/>
      <c r="F171" s="3"/>
      <c r="G171" s="3"/>
      <c r="H171" s="46"/>
      <c r="I171" s="11"/>
      <c r="J171" s="11"/>
      <c r="K171" s="3"/>
      <c r="L171" s="3"/>
      <c r="M171" s="3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7"/>
      <c r="Z171" s="73"/>
      <c r="AA171" s="73"/>
      <c r="AB171" s="73"/>
      <c r="AC171" s="73"/>
      <c r="AD171" s="73"/>
      <c r="AE171" s="73"/>
      <c r="AF171" s="73"/>
      <c r="AG171" s="73"/>
    </row>
    <row r="172" spans="1:33" x14ac:dyDescent="0.25">
      <c r="A172" s="26">
        <v>169</v>
      </c>
      <c r="H172" s="71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73"/>
      <c r="Z172" s="73"/>
      <c r="AA172" s="73"/>
      <c r="AB172" s="73"/>
      <c r="AC172" s="73"/>
      <c r="AD172" s="73"/>
      <c r="AE172" s="73"/>
      <c r="AF172" s="73"/>
      <c r="AG172" s="73"/>
    </row>
    <row r="173" spans="1:33" x14ac:dyDescent="0.25">
      <c r="A173" s="6">
        <v>170</v>
      </c>
      <c r="H173" s="71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73"/>
      <c r="Z173" s="73"/>
      <c r="AA173" s="73"/>
      <c r="AB173" s="73"/>
      <c r="AC173" s="73"/>
      <c r="AD173" s="73"/>
      <c r="AE173" s="73"/>
      <c r="AF173" s="73"/>
      <c r="AG173" s="73"/>
    </row>
    <row r="174" spans="1:33" x14ac:dyDescent="0.25">
      <c r="A174" s="6">
        <v>171</v>
      </c>
      <c r="H174" s="71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73"/>
      <c r="Z174" s="73"/>
      <c r="AA174" s="73"/>
      <c r="AB174" s="73"/>
      <c r="AC174" s="73"/>
      <c r="AD174" s="73"/>
      <c r="AE174" s="73"/>
      <c r="AF174" s="73"/>
      <c r="AG174" s="73"/>
    </row>
    <row r="175" spans="1:33" x14ac:dyDescent="0.25">
      <c r="A175" s="6">
        <v>172</v>
      </c>
      <c r="H175" s="71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73"/>
      <c r="Z175" s="73"/>
      <c r="AA175" s="73"/>
      <c r="AB175" s="73"/>
      <c r="AC175" s="73"/>
      <c r="AD175" s="73"/>
      <c r="AE175" s="73"/>
      <c r="AF175" s="73"/>
      <c r="AG175" s="73"/>
    </row>
    <row r="176" spans="1:33" x14ac:dyDescent="0.25">
      <c r="A176" s="6">
        <v>173</v>
      </c>
      <c r="H176" s="71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73"/>
      <c r="Z176" s="73"/>
      <c r="AA176" s="73"/>
      <c r="AB176" s="73"/>
      <c r="AC176" s="73"/>
      <c r="AD176" s="73"/>
      <c r="AE176" s="73"/>
      <c r="AF176" s="73"/>
      <c r="AG176" s="73"/>
    </row>
    <row r="177" spans="1:33" x14ac:dyDescent="0.25">
      <c r="A177" s="6">
        <v>174</v>
      </c>
      <c r="H177" s="71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73"/>
      <c r="Z177" s="73"/>
      <c r="AA177" s="73"/>
      <c r="AB177" s="73"/>
      <c r="AC177" s="73"/>
      <c r="AD177" s="73"/>
      <c r="AE177" s="73"/>
      <c r="AF177" s="73"/>
      <c r="AG177" s="73"/>
    </row>
    <row r="178" spans="1:33" x14ac:dyDescent="0.25">
      <c r="A178" s="6">
        <v>175</v>
      </c>
      <c r="H178" s="71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73"/>
      <c r="Z178" s="73"/>
      <c r="AA178" s="73"/>
      <c r="AB178" s="73"/>
      <c r="AC178" s="73"/>
      <c r="AD178" s="73"/>
      <c r="AE178" s="73"/>
      <c r="AF178" s="73"/>
      <c r="AG178" s="73"/>
    </row>
    <row r="179" spans="1:33" x14ac:dyDescent="0.25">
      <c r="A179" s="6">
        <v>176</v>
      </c>
      <c r="H179" s="71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73"/>
      <c r="Z179" s="73"/>
      <c r="AA179" s="73"/>
      <c r="AB179" s="73"/>
      <c r="AC179" s="73"/>
      <c r="AD179" s="73"/>
      <c r="AE179" s="73"/>
      <c r="AF179" s="73"/>
      <c r="AG179" s="73"/>
    </row>
    <row r="180" spans="1:33" x14ac:dyDescent="0.25">
      <c r="A180" s="6">
        <v>177</v>
      </c>
      <c r="H180" s="71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73"/>
      <c r="Z180" s="73"/>
      <c r="AA180" s="73"/>
      <c r="AB180" s="73"/>
      <c r="AC180" s="73"/>
      <c r="AD180" s="73"/>
      <c r="AE180" s="73"/>
      <c r="AF180" s="73"/>
      <c r="AG180" s="73"/>
    </row>
    <row r="181" spans="1:33" x14ac:dyDescent="0.25">
      <c r="A181" s="6">
        <v>178</v>
      </c>
      <c r="H181" s="71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73"/>
      <c r="Z181" s="73"/>
      <c r="AA181" s="73"/>
      <c r="AB181" s="73"/>
      <c r="AC181" s="73"/>
      <c r="AD181" s="73"/>
      <c r="AE181" s="73"/>
      <c r="AF181" s="73"/>
      <c r="AG181" s="73"/>
    </row>
    <row r="182" spans="1:33" x14ac:dyDescent="0.25">
      <c r="A182" s="6">
        <v>179</v>
      </c>
      <c r="H182" s="71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73"/>
      <c r="Z182" s="73"/>
      <c r="AA182" s="73"/>
      <c r="AB182" s="73"/>
      <c r="AC182" s="73"/>
      <c r="AD182" s="73"/>
      <c r="AE182" s="73"/>
      <c r="AF182" s="73"/>
      <c r="AG182" s="73"/>
    </row>
    <row r="183" spans="1:33" x14ac:dyDescent="0.25">
      <c r="A183" s="6">
        <v>180</v>
      </c>
      <c r="H183" s="71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73"/>
      <c r="Z183" s="73"/>
      <c r="AA183" s="73"/>
      <c r="AB183" s="73"/>
      <c r="AC183" s="73"/>
      <c r="AD183" s="73"/>
      <c r="AE183" s="73"/>
      <c r="AF183" s="73"/>
      <c r="AG183" s="73"/>
    </row>
    <row r="184" spans="1:33" x14ac:dyDescent="0.25">
      <c r="A184" s="6">
        <v>181</v>
      </c>
      <c r="H184" s="71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73"/>
      <c r="Z184" s="73"/>
      <c r="AA184" s="73"/>
      <c r="AB184" s="73"/>
      <c r="AC184" s="73"/>
      <c r="AD184" s="73"/>
      <c r="AE184" s="73"/>
      <c r="AF184" s="73"/>
      <c r="AG184" s="73"/>
    </row>
    <row r="185" spans="1:33" x14ac:dyDescent="0.25">
      <c r="A185" s="6">
        <v>182</v>
      </c>
      <c r="H185" s="71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73"/>
      <c r="Z185" s="73"/>
      <c r="AA185" s="73"/>
      <c r="AB185" s="73"/>
      <c r="AC185" s="73"/>
      <c r="AD185" s="73"/>
      <c r="AE185" s="73"/>
      <c r="AF185" s="73"/>
      <c r="AG185" s="73"/>
    </row>
    <row r="186" spans="1:33" x14ac:dyDescent="0.25">
      <c r="A186" s="6">
        <v>183</v>
      </c>
      <c r="H186" s="71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73"/>
      <c r="Z186" s="73"/>
      <c r="AA186" s="73"/>
      <c r="AB186" s="73"/>
      <c r="AC186" s="73"/>
      <c r="AD186" s="73"/>
      <c r="AE186" s="73"/>
      <c r="AF186" s="73"/>
      <c r="AG186" s="73"/>
    </row>
    <row r="187" spans="1:33" x14ac:dyDescent="0.25">
      <c r="A187" s="6">
        <v>184</v>
      </c>
      <c r="H187" s="71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73"/>
      <c r="Z187" s="73"/>
      <c r="AA187" s="73"/>
      <c r="AB187" s="73"/>
      <c r="AC187" s="73"/>
      <c r="AD187" s="73"/>
      <c r="AE187" s="73"/>
      <c r="AF187" s="73"/>
      <c r="AG187" s="73"/>
    </row>
    <row r="188" spans="1:33" x14ac:dyDescent="0.25">
      <c r="A188" s="6">
        <v>185</v>
      </c>
      <c r="H188" s="71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73"/>
      <c r="Z188" s="73"/>
      <c r="AA188" s="73"/>
      <c r="AB188" s="73"/>
      <c r="AC188" s="73"/>
      <c r="AD188" s="73"/>
      <c r="AE188" s="73"/>
      <c r="AF188" s="73"/>
      <c r="AG188" s="73"/>
    </row>
    <row r="189" spans="1:33" x14ac:dyDescent="0.25">
      <c r="A189" s="6">
        <v>186</v>
      </c>
      <c r="H189" s="71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73"/>
      <c r="Z189" s="73"/>
      <c r="AA189" s="73"/>
      <c r="AB189" s="73"/>
      <c r="AC189" s="73"/>
      <c r="AD189" s="73"/>
      <c r="AE189" s="73"/>
      <c r="AF189" s="73"/>
      <c r="AG189" s="73"/>
    </row>
    <row r="190" spans="1:33" x14ac:dyDescent="0.25">
      <c r="A190" s="6">
        <v>187</v>
      </c>
      <c r="H190" s="71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73"/>
      <c r="Z190" s="73"/>
      <c r="AA190" s="73"/>
      <c r="AB190" s="73"/>
      <c r="AC190" s="73"/>
      <c r="AD190" s="73"/>
      <c r="AE190" s="73"/>
      <c r="AF190" s="73"/>
      <c r="AG190" s="73"/>
    </row>
    <row r="191" spans="1:33" x14ac:dyDescent="0.25">
      <c r="A191" s="6">
        <v>188</v>
      </c>
      <c r="H191" s="71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73"/>
      <c r="Z191" s="73"/>
      <c r="AA191" s="73"/>
      <c r="AB191" s="73"/>
      <c r="AC191" s="73"/>
      <c r="AD191" s="73"/>
      <c r="AE191" s="73"/>
      <c r="AF191" s="73"/>
      <c r="AG191" s="73"/>
    </row>
    <row r="192" spans="1:33" x14ac:dyDescent="0.25">
      <c r="A192" s="6">
        <v>189</v>
      </c>
      <c r="H192" s="71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73"/>
      <c r="Z192" s="73"/>
      <c r="AA192" s="73"/>
      <c r="AB192" s="73"/>
      <c r="AC192" s="73"/>
      <c r="AD192" s="73"/>
      <c r="AE192" s="73"/>
      <c r="AF192" s="73"/>
      <c r="AG192" s="73"/>
    </row>
    <row r="193" spans="1:33" x14ac:dyDescent="0.25">
      <c r="A193" s="6">
        <v>190</v>
      </c>
      <c r="H193" s="71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73"/>
      <c r="Z193" s="73"/>
      <c r="AA193" s="73"/>
      <c r="AB193" s="73"/>
      <c r="AC193" s="73"/>
      <c r="AD193" s="73"/>
      <c r="AE193" s="73"/>
      <c r="AF193" s="73"/>
      <c r="AG193" s="73"/>
    </row>
    <row r="194" spans="1:33" x14ac:dyDescent="0.25">
      <c r="A194" s="6">
        <v>191</v>
      </c>
      <c r="H194" s="71"/>
    </row>
    <row r="195" spans="1:33" x14ac:dyDescent="0.25">
      <c r="A195" s="6">
        <v>192</v>
      </c>
      <c r="H195" s="71"/>
    </row>
    <row r="196" spans="1:33" x14ac:dyDescent="0.25">
      <c r="A196" s="6">
        <v>193</v>
      </c>
      <c r="H196" s="71"/>
    </row>
    <row r="197" spans="1:33" x14ac:dyDescent="0.25">
      <c r="A197" s="6">
        <v>194</v>
      </c>
      <c r="H197" s="71"/>
    </row>
    <row r="198" spans="1:33" x14ac:dyDescent="0.25">
      <c r="A198" s="6">
        <v>195</v>
      </c>
      <c r="H198" s="71"/>
    </row>
    <row r="199" spans="1:33" x14ac:dyDescent="0.25">
      <c r="A199" s="6">
        <v>196</v>
      </c>
      <c r="H199" s="71"/>
    </row>
    <row r="200" spans="1:33" x14ac:dyDescent="0.25">
      <c r="A200" s="6">
        <v>197</v>
      </c>
      <c r="H200" s="71"/>
    </row>
    <row r="201" spans="1:33" x14ac:dyDescent="0.25">
      <c r="A201" s="6">
        <v>198</v>
      </c>
      <c r="H201" s="71"/>
    </row>
    <row r="202" spans="1:33" x14ac:dyDescent="0.25">
      <c r="A202" s="6">
        <v>199</v>
      </c>
      <c r="H202" s="71"/>
    </row>
    <row r="203" spans="1:33" x14ac:dyDescent="0.25">
      <c r="A203" s="6">
        <v>200</v>
      </c>
      <c r="H203" s="71"/>
    </row>
    <row r="204" spans="1:33" x14ac:dyDescent="0.25">
      <c r="A204" s="6">
        <v>201</v>
      </c>
      <c r="H204" s="71"/>
    </row>
    <row r="205" spans="1:33" x14ac:dyDescent="0.25">
      <c r="A205" s="6">
        <v>202</v>
      </c>
      <c r="H205" s="71"/>
    </row>
    <row r="206" spans="1:33" x14ac:dyDescent="0.25">
      <c r="A206" s="6">
        <v>203</v>
      </c>
      <c r="H206" s="71"/>
    </row>
    <row r="207" spans="1:33" x14ac:dyDescent="0.25">
      <c r="A207" s="6">
        <v>204</v>
      </c>
      <c r="H207" s="71"/>
    </row>
    <row r="208" spans="1:33" x14ac:dyDescent="0.25">
      <c r="A208" s="6">
        <v>205</v>
      </c>
      <c r="H208" s="71"/>
    </row>
    <row r="209" spans="1:8" x14ac:dyDescent="0.25">
      <c r="A209" s="6">
        <v>206</v>
      </c>
      <c r="H209" s="71"/>
    </row>
    <row r="210" spans="1:8" x14ac:dyDescent="0.25">
      <c r="A210" s="6">
        <v>207</v>
      </c>
      <c r="H210" s="71"/>
    </row>
    <row r="211" spans="1:8" x14ac:dyDescent="0.25">
      <c r="A211" s="6">
        <v>208</v>
      </c>
      <c r="H211" s="71"/>
    </row>
    <row r="212" spans="1:8" x14ac:dyDescent="0.25">
      <c r="A212" s="6">
        <v>209</v>
      </c>
      <c r="H212" s="71"/>
    </row>
    <row r="213" spans="1:8" x14ac:dyDescent="0.25">
      <c r="A213" s="6">
        <v>210</v>
      </c>
      <c r="H213" s="71"/>
    </row>
    <row r="214" spans="1:8" x14ac:dyDescent="0.25">
      <c r="A214" s="6">
        <v>211</v>
      </c>
      <c r="H214" s="71"/>
    </row>
    <row r="215" spans="1:8" x14ac:dyDescent="0.25">
      <c r="A215" s="6">
        <v>212</v>
      </c>
      <c r="H215" s="71"/>
    </row>
    <row r="216" spans="1:8" x14ac:dyDescent="0.25">
      <c r="A216" s="6">
        <v>213</v>
      </c>
      <c r="H216" s="71"/>
    </row>
    <row r="217" spans="1:8" x14ac:dyDescent="0.25">
      <c r="A217" s="6">
        <v>214</v>
      </c>
      <c r="H217" s="71"/>
    </row>
    <row r="218" spans="1:8" x14ac:dyDescent="0.25">
      <c r="A218" s="6">
        <v>215</v>
      </c>
      <c r="H218" s="71"/>
    </row>
    <row r="219" spans="1:8" x14ac:dyDescent="0.25">
      <c r="A219" s="6">
        <v>216</v>
      </c>
      <c r="H219" s="71"/>
    </row>
    <row r="220" spans="1:8" x14ac:dyDescent="0.25">
      <c r="A220" s="6">
        <v>217</v>
      </c>
      <c r="H220" s="71"/>
    </row>
    <row r="221" spans="1:8" x14ac:dyDescent="0.25">
      <c r="A221" s="6">
        <v>218</v>
      </c>
      <c r="H221" s="71"/>
    </row>
    <row r="222" spans="1:8" x14ac:dyDescent="0.25">
      <c r="A222" s="6">
        <v>219</v>
      </c>
      <c r="H222" s="71"/>
    </row>
    <row r="223" spans="1:8" x14ac:dyDescent="0.25">
      <c r="A223" s="6">
        <v>220</v>
      </c>
      <c r="H223" s="71"/>
    </row>
    <row r="224" spans="1:8" x14ac:dyDescent="0.25">
      <c r="A224" s="6">
        <v>221</v>
      </c>
      <c r="H224" s="71"/>
    </row>
    <row r="225" spans="1:8" x14ac:dyDescent="0.25">
      <c r="A225" s="6">
        <v>222</v>
      </c>
      <c r="H225" s="71"/>
    </row>
    <row r="226" spans="1:8" x14ac:dyDescent="0.25">
      <c r="A226" s="6">
        <v>223</v>
      </c>
      <c r="H226" s="71"/>
    </row>
    <row r="227" spans="1:8" x14ac:dyDescent="0.25">
      <c r="A227" s="6">
        <v>224</v>
      </c>
      <c r="H227" s="71"/>
    </row>
    <row r="228" spans="1:8" x14ac:dyDescent="0.25">
      <c r="A228" s="6">
        <v>225</v>
      </c>
      <c r="H228" s="71"/>
    </row>
    <row r="229" spans="1:8" x14ac:dyDescent="0.25">
      <c r="A229" s="6">
        <v>226</v>
      </c>
      <c r="H229" s="71"/>
    </row>
    <row r="230" spans="1:8" x14ac:dyDescent="0.25">
      <c r="A230" s="6">
        <v>227</v>
      </c>
      <c r="H230" s="71"/>
    </row>
    <row r="231" spans="1:8" x14ac:dyDescent="0.25">
      <c r="A231" s="6">
        <v>228</v>
      </c>
      <c r="H231" s="71"/>
    </row>
    <row r="232" spans="1:8" x14ac:dyDescent="0.25">
      <c r="A232" s="6">
        <v>229</v>
      </c>
      <c r="H232" s="71"/>
    </row>
    <row r="233" spans="1:8" x14ac:dyDescent="0.25">
      <c r="A233" s="6">
        <v>230</v>
      </c>
      <c r="H233" s="71"/>
    </row>
    <row r="234" spans="1:8" x14ac:dyDescent="0.25">
      <c r="A234" s="6">
        <v>231</v>
      </c>
      <c r="H234" s="71"/>
    </row>
    <row r="235" spans="1:8" x14ac:dyDescent="0.25">
      <c r="A235" s="6">
        <v>232</v>
      </c>
      <c r="H235" s="71"/>
    </row>
    <row r="236" spans="1:8" x14ac:dyDescent="0.25">
      <c r="A236" s="6">
        <v>233</v>
      </c>
      <c r="H236" s="71"/>
    </row>
    <row r="237" spans="1:8" x14ac:dyDescent="0.25">
      <c r="A237" s="6">
        <v>234</v>
      </c>
      <c r="H237" s="71"/>
    </row>
    <row r="238" spans="1:8" x14ac:dyDescent="0.25">
      <c r="A238" s="6">
        <v>235</v>
      </c>
      <c r="H238" s="71"/>
    </row>
    <row r="239" spans="1:8" x14ac:dyDescent="0.25">
      <c r="A239" s="6">
        <v>236</v>
      </c>
      <c r="H239" s="71"/>
    </row>
    <row r="240" spans="1:8" x14ac:dyDescent="0.25">
      <c r="A240" s="6">
        <v>237</v>
      </c>
      <c r="H240" s="71"/>
    </row>
    <row r="241" spans="1:8" x14ac:dyDescent="0.25">
      <c r="A241" s="6">
        <v>238</v>
      </c>
      <c r="H241" s="71"/>
    </row>
    <row r="242" spans="1:8" x14ac:dyDescent="0.25">
      <c r="A242" s="6">
        <v>239</v>
      </c>
      <c r="H242" s="71"/>
    </row>
    <row r="243" spans="1:8" x14ac:dyDescent="0.25">
      <c r="A243" s="6">
        <v>240</v>
      </c>
      <c r="H243" s="71"/>
    </row>
    <row r="244" spans="1:8" x14ac:dyDescent="0.25">
      <c r="A244" s="6">
        <v>241</v>
      </c>
      <c r="H244" s="71"/>
    </row>
    <row r="245" spans="1:8" x14ac:dyDescent="0.25">
      <c r="A245" s="6">
        <v>242</v>
      </c>
      <c r="H245" s="71"/>
    </row>
    <row r="246" spans="1:8" x14ac:dyDescent="0.25">
      <c r="A246" s="6">
        <v>243</v>
      </c>
      <c r="H246" s="71"/>
    </row>
    <row r="247" spans="1:8" x14ac:dyDescent="0.25">
      <c r="A247" s="6">
        <v>244</v>
      </c>
      <c r="H247" s="71"/>
    </row>
    <row r="248" spans="1:8" x14ac:dyDescent="0.25">
      <c r="A248" s="6">
        <v>245</v>
      </c>
      <c r="H248" s="71"/>
    </row>
    <row r="249" spans="1:8" x14ac:dyDescent="0.25">
      <c r="A249" s="6">
        <v>246</v>
      </c>
      <c r="H249" s="71"/>
    </row>
    <row r="250" spans="1:8" x14ac:dyDescent="0.25">
      <c r="A250" s="6">
        <v>247</v>
      </c>
      <c r="H250" s="71"/>
    </row>
    <row r="251" spans="1:8" x14ac:dyDescent="0.25">
      <c r="A251" s="6">
        <v>248</v>
      </c>
      <c r="H251" s="71"/>
    </row>
    <row r="252" spans="1:8" x14ac:dyDescent="0.25">
      <c r="A252" s="6">
        <v>249</v>
      </c>
      <c r="H252" s="71"/>
    </row>
    <row r="253" spans="1:8" x14ac:dyDescent="0.25">
      <c r="A253" s="6">
        <v>250</v>
      </c>
      <c r="H253" s="71"/>
    </row>
    <row r="254" spans="1:8" x14ac:dyDescent="0.25">
      <c r="A254" s="6">
        <v>251</v>
      </c>
      <c r="H254" s="71"/>
    </row>
    <row r="255" spans="1:8" x14ac:dyDescent="0.25">
      <c r="A255" s="6">
        <v>252</v>
      </c>
      <c r="H255" s="71"/>
    </row>
    <row r="256" spans="1:8" x14ac:dyDescent="0.25">
      <c r="A256" s="6">
        <v>253</v>
      </c>
      <c r="H256" s="71"/>
    </row>
    <row r="257" spans="1:17" x14ac:dyDescent="0.25">
      <c r="A257" s="6">
        <v>254</v>
      </c>
      <c r="H257" s="71"/>
    </row>
    <row r="258" spans="1:17" x14ac:dyDescent="0.25">
      <c r="A258" s="6">
        <v>255</v>
      </c>
      <c r="H258" s="71"/>
    </row>
    <row r="259" spans="1:17" x14ac:dyDescent="0.25">
      <c r="A259" s="6">
        <v>256</v>
      </c>
      <c r="H259" s="71"/>
    </row>
    <row r="260" spans="1:17" x14ac:dyDescent="0.25">
      <c r="A260" s="6">
        <v>257</v>
      </c>
      <c r="H260" s="71"/>
    </row>
    <row r="261" spans="1:17" x14ac:dyDescent="0.25">
      <c r="A261" s="6">
        <v>258</v>
      </c>
      <c r="H261" s="71"/>
    </row>
    <row r="262" spans="1:17" x14ac:dyDescent="0.25">
      <c r="A262" s="6">
        <v>259</v>
      </c>
      <c r="H262" s="71"/>
    </row>
    <row r="263" spans="1:17" x14ac:dyDescent="0.25">
      <c r="A263" s="6">
        <v>260</v>
      </c>
      <c r="H263" s="71"/>
    </row>
    <row r="264" spans="1:17" x14ac:dyDescent="0.25">
      <c r="A264" s="6">
        <v>261</v>
      </c>
      <c r="H264" s="71"/>
    </row>
    <row r="265" spans="1:17" x14ac:dyDescent="0.25">
      <c r="A265" s="6">
        <v>262</v>
      </c>
      <c r="H265" s="71"/>
    </row>
    <row r="266" spans="1:17" x14ac:dyDescent="0.25">
      <c r="A266" s="6">
        <v>263</v>
      </c>
      <c r="H266" s="71"/>
    </row>
    <row r="267" spans="1:17" x14ac:dyDescent="0.25">
      <c r="H267" s="71"/>
      <c r="N267" s="62"/>
      <c r="O267" s="62"/>
      <c r="P267" s="62"/>
      <c r="Q267" s="62"/>
    </row>
    <row r="268" spans="1:17" x14ac:dyDescent="0.25">
      <c r="H268" s="71"/>
      <c r="N268" s="62"/>
      <c r="O268" s="62"/>
      <c r="P268" s="62"/>
      <c r="Q268" s="62"/>
    </row>
    <row r="269" spans="1:17" x14ac:dyDescent="0.25">
      <c r="H269" s="71"/>
    </row>
    <row r="270" spans="1:17" x14ac:dyDescent="0.25">
      <c r="H270" s="71"/>
    </row>
    <row r="271" spans="1:17" x14ac:dyDescent="0.25">
      <c r="H271" s="71"/>
    </row>
    <row r="272" spans="1:17" x14ac:dyDescent="0.25">
      <c r="H272" s="71"/>
    </row>
    <row r="273" spans="8:8" x14ac:dyDescent="0.25">
      <c r="H273" s="71"/>
    </row>
    <row r="274" spans="8:8" x14ac:dyDescent="0.25">
      <c r="H274" s="71"/>
    </row>
    <row r="275" spans="8:8" x14ac:dyDescent="0.25">
      <c r="H275" s="71"/>
    </row>
    <row r="276" spans="8:8" x14ac:dyDescent="0.25">
      <c r="H276" s="71"/>
    </row>
    <row r="277" spans="8:8" x14ac:dyDescent="0.25">
      <c r="H277" s="71"/>
    </row>
    <row r="278" spans="8:8" x14ac:dyDescent="0.25">
      <c r="H278" s="71"/>
    </row>
  </sheetData>
  <autoFilter ref="A3:AG3"/>
  <sortState ref="A4:P274">
    <sortCondition ref="B101"/>
  </sortState>
  <mergeCells count="4">
    <mergeCell ref="K2:L2"/>
    <mergeCell ref="N2:O2"/>
    <mergeCell ref="R2:S2"/>
    <mergeCell ref="V2:W2"/>
  </mergeCells>
  <conditionalFormatting sqref="G4">
    <cfRule type="cellIs" dxfId="3" priority="4" operator="equal">
      <formula>"Sim"</formula>
    </cfRule>
  </conditionalFormatting>
  <conditionalFormatting sqref="F4">
    <cfRule type="cellIs" dxfId="2" priority="3" operator="equal">
      <formula>"Sim"</formula>
    </cfRule>
    <cfRule type="cellIs" dxfId="1" priority="2" operator="equal">
      <formula>"Nao"</formula>
    </cfRule>
    <cfRule type="cellIs" dxfId="0" priority="1" operator="equal">
      <formula>"NÃO"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rgb="FFFF0000"/>
  </sheetPr>
  <dimension ref="A1:P181"/>
  <sheetViews>
    <sheetView workbookViewId="0">
      <selection activeCell="P6" sqref="P6"/>
    </sheetView>
  </sheetViews>
  <sheetFormatPr defaultRowHeight="15" x14ac:dyDescent="0.25"/>
  <cols>
    <col min="1" max="1" width="4" style="2" bestFit="1" customWidth="1"/>
    <col min="2" max="2" width="21.5703125" customWidth="1"/>
    <col min="3" max="3" width="39" bestFit="1" customWidth="1"/>
    <col min="4" max="4" width="6.5703125" bestFit="1" customWidth="1"/>
    <col min="5" max="5" width="7" bestFit="1" customWidth="1"/>
    <col min="6" max="6" width="10.7109375" style="1" hidden="1" customWidth="1"/>
    <col min="7" max="7" width="10.7109375" style="11" hidden="1" customWidth="1"/>
    <col min="8" max="8" width="0" style="3" hidden="1" customWidth="1"/>
    <col min="9" max="9" width="8.7109375" style="43" hidden="1" customWidth="1"/>
    <col min="10" max="10" width="10.7109375" style="43" hidden="1" customWidth="1"/>
    <col min="11" max="11" width="9.140625" style="34"/>
    <col min="12" max="12" width="8.7109375" style="45" bestFit="1" customWidth="1"/>
    <col min="13" max="13" width="8.7109375" style="43" customWidth="1"/>
    <col min="14" max="14" width="9.140625" style="19"/>
    <col min="15" max="15" width="8.7109375" style="19" bestFit="1" customWidth="1"/>
  </cols>
  <sheetData>
    <row r="1" spans="1:16" x14ac:dyDescent="0.25">
      <c r="A1" s="12"/>
      <c r="B1" s="13"/>
      <c r="C1" s="13"/>
      <c r="D1" s="13"/>
      <c r="E1" s="13"/>
      <c r="F1" s="13"/>
      <c r="G1" s="20">
        <f>F2-I1</f>
        <v>205</v>
      </c>
      <c r="H1" s="9">
        <f>COUNTIFS(H4:H165,"pago")</f>
        <v>1</v>
      </c>
      <c r="I1" s="41">
        <f>H1*30</f>
        <v>30</v>
      </c>
      <c r="J1" s="58"/>
      <c r="K1" s="30">
        <f>COUNTIFS(K4:K165,"Pago")</f>
        <v>4</v>
      </c>
      <c r="L1" s="31">
        <f>K1*30</f>
        <v>120</v>
      </c>
      <c r="M1" s="32"/>
      <c r="N1" s="118">
        <f>COUNTIFS(N4:N165,"Pago")</f>
        <v>2</v>
      </c>
      <c r="O1" s="131">
        <f>N1*30</f>
        <v>60</v>
      </c>
      <c r="P1" s="132"/>
    </row>
    <row r="2" spans="1:16" x14ac:dyDescent="0.25">
      <c r="A2" s="12"/>
      <c r="B2" s="13"/>
      <c r="C2" s="13"/>
      <c r="D2" s="9" t="s">
        <v>101</v>
      </c>
      <c r="E2" s="23"/>
      <c r="F2" s="15">
        <f>SUM(F4:F164)</f>
        <v>235</v>
      </c>
      <c r="G2" s="9">
        <f>COUNTIFS(G4:G165,"sim")</f>
        <v>2</v>
      </c>
      <c r="H2" s="144" t="s">
        <v>100</v>
      </c>
      <c r="I2" s="145"/>
      <c r="J2" s="41"/>
      <c r="K2" s="142" t="s">
        <v>137</v>
      </c>
      <c r="L2" s="143"/>
      <c r="M2" s="33"/>
      <c r="N2" s="146" t="s">
        <v>157</v>
      </c>
      <c r="O2" s="147"/>
      <c r="P2" s="133"/>
    </row>
    <row r="3" spans="1:16" x14ac:dyDescent="0.25">
      <c r="A3" s="9" t="s">
        <v>0</v>
      </c>
      <c r="B3" s="9" t="s">
        <v>9</v>
      </c>
      <c r="C3" s="9" t="s">
        <v>10</v>
      </c>
      <c r="D3" s="9" t="s">
        <v>1</v>
      </c>
      <c r="E3" s="23" t="s">
        <v>145</v>
      </c>
      <c r="F3" s="15" t="s">
        <v>2</v>
      </c>
      <c r="G3" s="10" t="s">
        <v>94</v>
      </c>
      <c r="H3" s="9" t="s">
        <v>99</v>
      </c>
      <c r="I3" s="41" t="s">
        <v>97</v>
      </c>
      <c r="J3" s="41" t="s">
        <v>180</v>
      </c>
      <c r="K3" s="49" t="s">
        <v>99</v>
      </c>
      <c r="L3" s="48" t="s">
        <v>97</v>
      </c>
      <c r="M3" s="33" t="s">
        <v>199</v>
      </c>
      <c r="N3" s="119" t="s">
        <v>99</v>
      </c>
      <c r="O3" s="128" t="s">
        <v>97</v>
      </c>
      <c r="P3" s="33" t="s">
        <v>199</v>
      </c>
    </row>
    <row r="4" spans="1:16" s="8" customFormat="1" x14ac:dyDescent="0.25">
      <c r="A4" s="6">
        <v>1</v>
      </c>
      <c r="B4" s="7" t="s">
        <v>79</v>
      </c>
      <c r="C4" s="7" t="s">
        <v>80</v>
      </c>
      <c r="D4" s="7" t="s">
        <v>8</v>
      </c>
      <c r="E4" s="120">
        <v>45845</v>
      </c>
      <c r="F4" s="16">
        <v>30</v>
      </c>
      <c r="G4" s="14" t="s">
        <v>159</v>
      </c>
      <c r="H4" s="6"/>
      <c r="I4" s="42"/>
      <c r="J4" s="42"/>
      <c r="K4" s="44"/>
      <c r="L4" s="6"/>
      <c r="M4" s="53"/>
      <c r="N4" s="44"/>
      <c r="O4" s="6"/>
      <c r="P4" s="87"/>
    </row>
    <row r="5" spans="1:16" s="8" customFormat="1" x14ac:dyDescent="0.25">
      <c r="A5" s="6">
        <v>2</v>
      </c>
      <c r="B5" s="7" t="s">
        <v>11</v>
      </c>
      <c r="C5" s="7" t="s">
        <v>12</v>
      </c>
      <c r="D5" s="7" t="s">
        <v>8</v>
      </c>
      <c r="E5" s="120">
        <v>45844</v>
      </c>
      <c r="F5" s="16">
        <v>30</v>
      </c>
      <c r="G5" s="14" t="s">
        <v>160</v>
      </c>
      <c r="H5" s="6"/>
      <c r="I5" s="42"/>
      <c r="J5" s="42"/>
      <c r="K5" s="44"/>
      <c r="L5" s="6"/>
      <c r="M5" s="53"/>
      <c r="N5" s="44"/>
      <c r="O5" s="6"/>
      <c r="P5" s="87"/>
    </row>
    <row r="6" spans="1:16" s="8" customFormat="1" x14ac:dyDescent="0.25">
      <c r="A6" s="6">
        <v>3</v>
      </c>
      <c r="B6" s="7" t="s">
        <v>103</v>
      </c>
      <c r="C6" s="64" t="s">
        <v>104</v>
      </c>
      <c r="D6" s="64" t="s">
        <v>8</v>
      </c>
      <c r="E6" s="66">
        <v>45809</v>
      </c>
      <c r="F6" s="65">
        <v>30</v>
      </c>
      <c r="G6" s="56" t="s">
        <v>8</v>
      </c>
      <c r="H6" s="57" t="s">
        <v>93</v>
      </c>
      <c r="I6" s="59" t="s">
        <v>102</v>
      </c>
      <c r="J6" s="61">
        <v>45814</v>
      </c>
      <c r="K6" s="44" t="s">
        <v>138</v>
      </c>
      <c r="L6" s="6" t="s">
        <v>102</v>
      </c>
      <c r="M6" s="129">
        <v>45845</v>
      </c>
      <c r="N6" s="44" t="s">
        <v>138</v>
      </c>
      <c r="O6" s="6" t="s">
        <v>102</v>
      </c>
      <c r="P6" s="72">
        <v>45875</v>
      </c>
    </row>
    <row r="7" spans="1:16" x14ac:dyDescent="0.25">
      <c r="A7" s="6">
        <v>4</v>
      </c>
      <c r="B7" s="4" t="s">
        <v>135</v>
      </c>
      <c r="C7" s="4" t="s">
        <v>136</v>
      </c>
      <c r="D7" s="4" t="s">
        <v>8</v>
      </c>
      <c r="E7" s="47">
        <v>45839</v>
      </c>
      <c r="F7" s="17">
        <v>30</v>
      </c>
      <c r="G7" s="11" t="s">
        <v>160</v>
      </c>
      <c r="L7" s="3"/>
      <c r="M7" s="35"/>
      <c r="N7" s="44" t="s">
        <v>138</v>
      </c>
      <c r="O7" s="6" t="s">
        <v>102</v>
      </c>
      <c r="P7" s="134">
        <v>45875</v>
      </c>
    </row>
    <row r="8" spans="1:16" x14ac:dyDescent="0.25">
      <c r="A8" s="6">
        <v>5</v>
      </c>
      <c r="B8" s="7" t="s">
        <v>11</v>
      </c>
      <c r="C8" s="7" t="s">
        <v>162</v>
      </c>
      <c r="D8" s="4" t="s">
        <v>8</v>
      </c>
      <c r="E8" s="47">
        <v>45839</v>
      </c>
      <c r="F8" s="17">
        <v>30</v>
      </c>
      <c r="G8" s="22" t="s">
        <v>159</v>
      </c>
      <c r="K8" s="44" t="s">
        <v>138</v>
      </c>
      <c r="L8" s="6" t="s">
        <v>102</v>
      </c>
      <c r="M8" s="72">
        <v>45851</v>
      </c>
      <c r="N8" s="44"/>
      <c r="O8" s="6"/>
      <c r="P8" s="133"/>
    </row>
    <row r="9" spans="1:16" x14ac:dyDescent="0.25">
      <c r="A9" s="6">
        <v>6</v>
      </c>
      <c r="B9" s="4" t="s">
        <v>166</v>
      </c>
      <c r="C9" s="4" t="s">
        <v>167</v>
      </c>
      <c r="D9" s="4" t="s">
        <v>8</v>
      </c>
      <c r="E9" s="47">
        <v>45839</v>
      </c>
      <c r="F9" s="17">
        <v>30</v>
      </c>
      <c r="G9" s="22" t="s">
        <v>159</v>
      </c>
      <c r="K9" s="44" t="s">
        <v>138</v>
      </c>
      <c r="L9" s="6" t="s">
        <v>102</v>
      </c>
      <c r="M9" s="72">
        <v>45855</v>
      </c>
      <c r="N9" s="44"/>
      <c r="O9" s="6"/>
      <c r="P9" s="133"/>
    </row>
    <row r="10" spans="1:16" x14ac:dyDescent="0.25">
      <c r="A10" s="6">
        <v>7</v>
      </c>
      <c r="B10" s="4" t="s">
        <v>175</v>
      </c>
      <c r="C10" s="4" t="s">
        <v>176</v>
      </c>
      <c r="D10" s="4" t="s">
        <v>8</v>
      </c>
      <c r="E10" s="47">
        <v>45748</v>
      </c>
      <c r="F10" s="17">
        <v>25</v>
      </c>
      <c r="G10" s="11" t="s">
        <v>8</v>
      </c>
      <c r="K10" s="44" t="s">
        <v>138</v>
      </c>
      <c r="L10" s="6" t="s">
        <v>102</v>
      </c>
      <c r="M10" s="72">
        <v>45862</v>
      </c>
      <c r="N10" s="34"/>
      <c r="O10" s="3"/>
      <c r="P10" s="133"/>
    </row>
    <row r="11" spans="1:16" x14ac:dyDescent="0.25">
      <c r="A11" s="6">
        <v>8</v>
      </c>
      <c r="B11" s="4" t="s">
        <v>177</v>
      </c>
      <c r="C11" s="4" t="s">
        <v>178</v>
      </c>
      <c r="D11" s="4" t="s">
        <v>8</v>
      </c>
      <c r="E11" s="47">
        <v>45870</v>
      </c>
      <c r="F11" s="17">
        <v>30</v>
      </c>
      <c r="G11" s="11" t="s">
        <v>159</v>
      </c>
      <c r="L11" s="3"/>
      <c r="M11" s="35"/>
      <c r="N11" s="34"/>
      <c r="O11" s="3"/>
      <c r="P11" s="133"/>
    </row>
    <row r="12" spans="1:16" x14ac:dyDescent="0.25">
      <c r="A12" s="6">
        <v>10</v>
      </c>
      <c r="B12" s="4"/>
      <c r="C12" s="4"/>
      <c r="D12" s="4"/>
      <c r="E12" s="25"/>
      <c r="F12" s="17"/>
      <c r="L12" s="3"/>
      <c r="M12" s="35"/>
      <c r="N12" s="34"/>
      <c r="O12" s="3"/>
      <c r="P12" s="133"/>
    </row>
    <row r="13" spans="1:16" x14ac:dyDescent="0.25">
      <c r="A13" s="6">
        <v>11</v>
      </c>
      <c r="B13" s="4"/>
      <c r="C13" s="4"/>
      <c r="D13" s="4"/>
      <c r="E13" s="25"/>
      <c r="F13" s="17"/>
      <c r="L13" s="3"/>
      <c r="M13" s="35"/>
      <c r="N13" s="34"/>
      <c r="O13" s="3"/>
      <c r="P13" s="133"/>
    </row>
    <row r="14" spans="1:16" x14ac:dyDescent="0.25">
      <c r="A14" s="6">
        <v>12</v>
      </c>
      <c r="B14" s="4"/>
      <c r="C14" s="4"/>
      <c r="D14" s="4"/>
      <c r="E14" s="25"/>
      <c r="F14" s="17"/>
      <c r="L14" s="3"/>
      <c r="M14" s="35"/>
      <c r="N14" s="34"/>
      <c r="O14" s="3"/>
      <c r="P14" s="133"/>
    </row>
    <row r="15" spans="1:16" x14ac:dyDescent="0.25">
      <c r="A15" s="6">
        <v>13</v>
      </c>
      <c r="B15" s="4"/>
      <c r="C15" s="4"/>
      <c r="D15" s="4"/>
      <c r="E15" s="25"/>
      <c r="F15" s="17"/>
      <c r="L15" s="3"/>
      <c r="M15" s="35"/>
      <c r="N15" s="34"/>
      <c r="O15" s="3"/>
      <c r="P15" s="133"/>
    </row>
    <row r="16" spans="1:16" x14ac:dyDescent="0.25">
      <c r="A16" s="6">
        <v>14</v>
      </c>
      <c r="B16" s="4"/>
      <c r="C16" s="4"/>
      <c r="D16" s="4"/>
      <c r="E16" s="25"/>
      <c r="F16" s="17"/>
      <c r="L16" s="3"/>
      <c r="M16" s="35"/>
      <c r="N16" s="34"/>
      <c r="O16" s="3"/>
      <c r="P16" s="133"/>
    </row>
    <row r="17" spans="1:16" x14ac:dyDescent="0.25">
      <c r="A17" s="6">
        <v>15</v>
      </c>
      <c r="B17" s="4"/>
      <c r="C17" s="4"/>
      <c r="D17" s="4"/>
      <c r="E17" s="25"/>
      <c r="F17" s="17"/>
      <c r="L17" s="3"/>
      <c r="M17" s="35"/>
      <c r="N17" s="34"/>
      <c r="O17" s="3"/>
      <c r="P17" s="133"/>
    </row>
    <row r="18" spans="1:16" x14ac:dyDescent="0.25">
      <c r="A18" s="6">
        <v>16</v>
      </c>
      <c r="B18" s="4"/>
      <c r="C18" s="4"/>
      <c r="D18" s="4"/>
      <c r="E18" s="25"/>
      <c r="F18" s="17"/>
      <c r="L18" s="3"/>
      <c r="M18" s="35"/>
      <c r="N18" s="34"/>
      <c r="O18" s="3"/>
      <c r="P18" s="133"/>
    </row>
    <row r="19" spans="1:16" x14ac:dyDescent="0.25">
      <c r="A19" s="6">
        <v>17</v>
      </c>
      <c r="B19" s="4"/>
      <c r="C19" s="4"/>
      <c r="D19" s="4"/>
      <c r="E19" s="25"/>
      <c r="F19" s="17"/>
      <c r="L19" s="3"/>
      <c r="M19" s="35"/>
      <c r="N19" s="34"/>
      <c r="O19" s="3"/>
      <c r="P19" s="133"/>
    </row>
    <row r="20" spans="1:16" x14ac:dyDescent="0.25">
      <c r="A20" s="6">
        <v>18</v>
      </c>
      <c r="B20" s="4"/>
      <c r="C20" s="4"/>
      <c r="D20" s="4"/>
      <c r="E20" s="25"/>
      <c r="F20" s="17"/>
      <c r="L20" s="3"/>
      <c r="M20" s="35"/>
      <c r="N20" s="34"/>
      <c r="O20" s="3"/>
      <c r="P20" s="133"/>
    </row>
    <row r="21" spans="1:16" x14ac:dyDescent="0.25">
      <c r="A21" s="6">
        <v>19</v>
      </c>
      <c r="B21" s="4"/>
      <c r="C21" s="4"/>
      <c r="D21" s="4"/>
      <c r="E21" s="25"/>
      <c r="F21" s="17"/>
      <c r="L21" s="3"/>
      <c r="M21" s="35"/>
      <c r="N21" s="34"/>
      <c r="O21" s="3"/>
      <c r="P21" s="133"/>
    </row>
    <row r="22" spans="1:16" ht="15.75" thickBot="1" x14ac:dyDescent="0.3">
      <c r="A22" s="6">
        <v>20</v>
      </c>
      <c r="B22" s="4"/>
      <c r="C22" s="4"/>
      <c r="D22" s="4"/>
      <c r="E22" s="25"/>
      <c r="F22" s="17"/>
      <c r="K22" s="112"/>
      <c r="L22" s="85"/>
      <c r="M22" s="82"/>
      <c r="N22" s="112"/>
      <c r="O22" s="85"/>
      <c r="P22" s="135"/>
    </row>
    <row r="23" spans="1:16" x14ac:dyDescent="0.25">
      <c r="A23" s="6">
        <v>21</v>
      </c>
      <c r="B23" s="4"/>
      <c r="C23" s="4"/>
      <c r="D23" s="4"/>
      <c r="E23" s="25"/>
      <c r="F23" s="17"/>
      <c r="K23" s="78"/>
      <c r="L23" s="78"/>
      <c r="M23" s="78"/>
      <c r="N23" s="78"/>
      <c r="O23" s="78"/>
      <c r="P23" s="130"/>
    </row>
    <row r="24" spans="1:16" x14ac:dyDescent="0.25">
      <c r="A24" s="6">
        <v>22</v>
      </c>
      <c r="B24" s="4"/>
      <c r="C24" s="4"/>
      <c r="D24" s="4"/>
      <c r="E24" s="25"/>
      <c r="F24" s="17"/>
      <c r="K24" s="3"/>
      <c r="L24" s="3"/>
      <c r="M24" s="3"/>
      <c r="N24" s="3"/>
      <c r="O24" s="3"/>
      <c r="P24" s="4"/>
    </row>
    <row r="25" spans="1:16" x14ac:dyDescent="0.25">
      <c r="A25" s="6">
        <v>23</v>
      </c>
      <c r="B25" s="4"/>
      <c r="C25" s="4"/>
      <c r="D25" s="4"/>
      <c r="E25" s="25"/>
      <c r="F25" s="17"/>
      <c r="K25" s="3"/>
      <c r="L25" s="3"/>
      <c r="M25" s="3"/>
      <c r="N25" s="3"/>
      <c r="O25" s="3"/>
      <c r="P25" s="4"/>
    </row>
    <row r="26" spans="1:16" x14ac:dyDescent="0.25">
      <c r="A26" s="6">
        <v>24</v>
      </c>
      <c r="B26" s="4"/>
      <c r="C26" s="4"/>
      <c r="D26" s="4"/>
      <c r="E26" s="25"/>
      <c r="F26" s="17"/>
      <c r="K26" s="3"/>
      <c r="L26" s="3"/>
      <c r="M26" s="3"/>
      <c r="N26" s="3"/>
      <c r="O26" s="3"/>
      <c r="P26" s="4"/>
    </row>
    <row r="27" spans="1:16" x14ac:dyDescent="0.25">
      <c r="A27" s="6">
        <v>25</v>
      </c>
      <c r="B27" s="4"/>
      <c r="C27" s="4"/>
      <c r="D27" s="4"/>
      <c r="E27" s="25"/>
      <c r="F27" s="17"/>
      <c r="K27" s="3"/>
      <c r="L27" s="3"/>
      <c r="M27" s="3"/>
      <c r="N27" s="3"/>
      <c r="O27" s="3"/>
      <c r="P27" s="4"/>
    </row>
    <row r="28" spans="1:16" x14ac:dyDescent="0.25">
      <c r="A28" s="6">
        <v>26</v>
      </c>
      <c r="B28" s="4"/>
      <c r="C28" s="4"/>
      <c r="D28" s="4"/>
      <c r="E28" s="25"/>
      <c r="F28" s="17"/>
      <c r="K28" s="3"/>
      <c r="L28" s="3"/>
      <c r="M28" s="3"/>
      <c r="N28" s="3"/>
      <c r="O28" s="3"/>
      <c r="P28" s="4"/>
    </row>
    <row r="29" spans="1:16" x14ac:dyDescent="0.25">
      <c r="A29" s="6">
        <v>27</v>
      </c>
      <c r="B29" s="4"/>
      <c r="C29" s="4"/>
      <c r="D29" s="4"/>
      <c r="E29" s="25"/>
      <c r="F29" s="17"/>
      <c r="K29" s="3"/>
      <c r="L29" s="3"/>
      <c r="M29" s="3"/>
      <c r="N29" s="3"/>
      <c r="O29" s="3"/>
      <c r="P29" s="4"/>
    </row>
    <row r="30" spans="1:16" x14ac:dyDescent="0.25">
      <c r="A30" s="6">
        <v>28</v>
      </c>
      <c r="B30" s="4"/>
      <c r="C30" s="4"/>
      <c r="D30" s="4"/>
      <c r="E30" s="25"/>
      <c r="F30" s="17"/>
      <c r="K30" s="3"/>
      <c r="L30" s="3"/>
      <c r="M30" s="3"/>
      <c r="N30" s="3"/>
      <c r="O30" s="3"/>
      <c r="P30" s="4"/>
    </row>
    <row r="31" spans="1:16" x14ac:dyDescent="0.25">
      <c r="A31" s="6">
        <v>29</v>
      </c>
      <c r="B31" s="4"/>
      <c r="C31" s="4"/>
      <c r="D31" s="4"/>
      <c r="E31" s="25"/>
      <c r="F31" s="17"/>
      <c r="K31" s="3"/>
      <c r="L31" s="3"/>
      <c r="M31" s="3"/>
      <c r="N31" s="3"/>
      <c r="O31" s="3"/>
      <c r="P31" s="4"/>
    </row>
    <row r="32" spans="1:16" x14ac:dyDescent="0.25">
      <c r="A32" s="6">
        <v>30</v>
      </c>
      <c r="B32" s="4"/>
      <c r="C32" s="4"/>
      <c r="D32" s="4"/>
      <c r="E32" s="25"/>
      <c r="F32" s="17"/>
      <c r="K32" s="3"/>
      <c r="L32" s="3"/>
      <c r="M32" s="3"/>
      <c r="N32" s="3"/>
      <c r="O32" s="3"/>
      <c r="P32" s="4"/>
    </row>
    <row r="33" spans="1:16" x14ac:dyDescent="0.25">
      <c r="A33" s="6">
        <v>31</v>
      </c>
      <c r="B33" s="4"/>
      <c r="C33" s="4"/>
      <c r="D33" s="4"/>
      <c r="E33" s="25"/>
      <c r="F33" s="17"/>
      <c r="K33" s="3"/>
      <c r="L33" s="3"/>
      <c r="M33" s="3"/>
      <c r="N33" s="3"/>
      <c r="O33" s="3"/>
      <c r="P33" s="4"/>
    </row>
    <row r="34" spans="1:16" x14ac:dyDescent="0.25">
      <c r="A34" s="6">
        <v>32</v>
      </c>
      <c r="B34" s="4"/>
      <c r="C34" s="4"/>
      <c r="D34" s="4"/>
      <c r="E34" s="25"/>
      <c r="F34" s="17"/>
      <c r="K34" s="3"/>
      <c r="L34" s="3"/>
      <c r="M34" s="3"/>
      <c r="N34" s="3"/>
      <c r="O34" s="3"/>
      <c r="P34" s="4"/>
    </row>
    <row r="35" spans="1:16" x14ac:dyDescent="0.25">
      <c r="A35" s="6">
        <v>33</v>
      </c>
      <c r="B35" s="4"/>
      <c r="C35" s="4"/>
      <c r="D35" s="4"/>
      <c r="E35" s="25"/>
      <c r="F35" s="17"/>
      <c r="K35" s="3"/>
      <c r="L35" s="3"/>
      <c r="M35" s="3"/>
      <c r="N35" s="3"/>
      <c r="O35" s="3"/>
      <c r="P35" s="4"/>
    </row>
    <row r="36" spans="1:16" x14ac:dyDescent="0.25">
      <c r="A36" s="6">
        <v>34</v>
      </c>
      <c r="B36" s="4"/>
      <c r="C36" s="4"/>
      <c r="D36" s="4"/>
      <c r="E36" s="25"/>
      <c r="F36" s="17"/>
      <c r="K36" s="3"/>
      <c r="L36" s="3"/>
      <c r="M36" s="3"/>
      <c r="N36" s="3"/>
      <c r="O36" s="3"/>
      <c r="P36" s="4"/>
    </row>
    <row r="37" spans="1:16" x14ac:dyDescent="0.25">
      <c r="A37" s="6">
        <v>35</v>
      </c>
      <c r="B37" s="4"/>
      <c r="C37" s="4"/>
      <c r="D37" s="4"/>
      <c r="E37" s="25"/>
      <c r="F37" s="17"/>
      <c r="K37" s="3"/>
      <c r="L37" s="3"/>
      <c r="M37" s="3"/>
      <c r="N37" s="3"/>
      <c r="O37" s="3"/>
      <c r="P37" s="4"/>
    </row>
    <row r="38" spans="1:16" x14ac:dyDescent="0.25">
      <c r="A38" s="6">
        <v>36</v>
      </c>
      <c r="B38" s="4"/>
      <c r="C38" s="4"/>
      <c r="D38" s="4"/>
      <c r="E38" s="25"/>
      <c r="F38" s="17"/>
      <c r="K38" s="3"/>
      <c r="L38" s="3"/>
      <c r="M38" s="3"/>
      <c r="N38" s="3"/>
      <c r="O38" s="3"/>
      <c r="P38" s="4"/>
    </row>
    <row r="39" spans="1:16" x14ac:dyDescent="0.25">
      <c r="A39" s="6">
        <v>37</v>
      </c>
      <c r="B39" s="4"/>
      <c r="C39" s="4"/>
      <c r="D39" s="4"/>
      <c r="E39" s="25"/>
      <c r="F39" s="17"/>
      <c r="K39" s="3"/>
      <c r="L39" s="3"/>
      <c r="M39" s="3"/>
      <c r="N39" s="3"/>
      <c r="O39" s="3"/>
      <c r="P39" s="4"/>
    </row>
    <row r="40" spans="1:16" x14ac:dyDescent="0.25">
      <c r="A40" s="6">
        <v>38</v>
      </c>
      <c r="B40" s="4"/>
      <c r="C40" s="4"/>
      <c r="D40" s="4"/>
      <c r="E40" s="25"/>
      <c r="F40" s="17"/>
      <c r="K40" s="3"/>
      <c r="L40" s="3"/>
      <c r="M40" s="3"/>
      <c r="N40" s="3"/>
      <c r="O40" s="3"/>
      <c r="P40" s="4"/>
    </row>
    <row r="41" spans="1:16" x14ac:dyDescent="0.25">
      <c r="A41" s="6">
        <v>39</v>
      </c>
      <c r="B41" s="4"/>
      <c r="C41" s="4"/>
      <c r="D41" s="4"/>
      <c r="E41" s="25"/>
      <c r="F41" s="17"/>
      <c r="K41" s="3"/>
      <c r="L41" s="3"/>
      <c r="M41" s="3"/>
      <c r="N41" s="3"/>
      <c r="O41" s="3"/>
      <c r="P41" s="4"/>
    </row>
    <row r="42" spans="1:16" x14ac:dyDescent="0.25">
      <c r="A42" s="6">
        <v>40</v>
      </c>
      <c r="B42" s="4"/>
      <c r="C42" s="4"/>
      <c r="D42" s="4"/>
      <c r="E42" s="25"/>
      <c r="F42" s="17"/>
      <c r="K42" s="3"/>
      <c r="L42" s="3"/>
      <c r="M42" s="3"/>
      <c r="N42" s="3"/>
      <c r="O42" s="3"/>
      <c r="P42" s="4"/>
    </row>
    <row r="43" spans="1:16" x14ac:dyDescent="0.25">
      <c r="A43" s="6">
        <v>41</v>
      </c>
      <c r="B43" s="4"/>
      <c r="C43" s="4"/>
      <c r="D43" s="4"/>
      <c r="E43" s="25"/>
      <c r="F43" s="17"/>
      <c r="K43" s="3"/>
      <c r="L43" s="3"/>
      <c r="M43" s="3"/>
      <c r="N43" s="3"/>
      <c r="O43" s="3"/>
      <c r="P43" s="4"/>
    </row>
    <row r="44" spans="1:16" x14ac:dyDescent="0.25">
      <c r="A44" s="6">
        <v>42</v>
      </c>
      <c r="B44" s="4"/>
      <c r="C44" s="4"/>
      <c r="D44" s="4"/>
      <c r="E44" s="25"/>
      <c r="F44" s="17"/>
      <c r="K44" s="3"/>
      <c r="L44" s="3"/>
      <c r="M44" s="3"/>
      <c r="N44" s="3"/>
      <c r="O44" s="3"/>
      <c r="P44" s="4"/>
    </row>
    <row r="45" spans="1:16" x14ac:dyDescent="0.25">
      <c r="A45" s="6">
        <v>43</v>
      </c>
      <c r="B45" s="4"/>
      <c r="C45" s="4"/>
      <c r="D45" s="4"/>
      <c r="E45" s="25"/>
      <c r="F45" s="17"/>
      <c r="K45" s="3"/>
      <c r="L45" s="3"/>
      <c r="M45" s="3"/>
      <c r="N45" s="3"/>
      <c r="O45" s="3"/>
      <c r="P45" s="4"/>
    </row>
    <row r="46" spans="1:16" x14ac:dyDescent="0.25">
      <c r="A46" s="6">
        <v>44</v>
      </c>
      <c r="B46" s="4"/>
      <c r="C46" s="4"/>
      <c r="D46" s="4"/>
      <c r="E46" s="25"/>
      <c r="F46" s="17"/>
      <c r="K46" s="114"/>
      <c r="L46" s="115"/>
      <c r="M46" s="116"/>
      <c r="N46" s="117"/>
      <c r="O46" s="117"/>
    </row>
    <row r="47" spans="1:16" x14ac:dyDescent="0.25">
      <c r="A47" s="6">
        <v>45</v>
      </c>
      <c r="B47" s="4"/>
      <c r="C47" s="4"/>
      <c r="D47" s="4"/>
      <c r="E47" s="25"/>
      <c r="F47" s="17"/>
    </row>
    <row r="48" spans="1:16" x14ac:dyDescent="0.25">
      <c r="A48" s="6">
        <v>46</v>
      </c>
      <c r="B48" s="4"/>
      <c r="C48" s="4"/>
      <c r="D48" s="4"/>
      <c r="E48" s="25"/>
      <c r="F48" s="17"/>
    </row>
    <row r="49" spans="1:6" x14ac:dyDescent="0.25">
      <c r="A49" s="6">
        <v>47</v>
      </c>
      <c r="B49" s="4"/>
      <c r="C49" s="4"/>
      <c r="D49" s="4"/>
      <c r="E49" s="25"/>
      <c r="F49" s="17"/>
    </row>
    <row r="50" spans="1:6" x14ac:dyDescent="0.25">
      <c r="A50" s="6">
        <v>48</v>
      </c>
      <c r="B50" s="4"/>
      <c r="C50" s="4"/>
      <c r="D50" s="4"/>
      <c r="E50" s="25"/>
      <c r="F50" s="17"/>
    </row>
    <row r="51" spans="1:6" x14ac:dyDescent="0.25">
      <c r="A51" s="6">
        <v>49</v>
      </c>
      <c r="B51" s="4"/>
      <c r="C51" s="4"/>
      <c r="D51" s="4"/>
      <c r="E51" s="25"/>
      <c r="F51" s="17"/>
    </row>
    <row r="52" spans="1:6" x14ac:dyDescent="0.25">
      <c r="A52" s="6">
        <v>50</v>
      </c>
      <c r="B52" s="4"/>
      <c r="C52" s="4"/>
      <c r="D52" s="4"/>
      <c r="E52" s="25"/>
      <c r="F52" s="17"/>
    </row>
    <row r="53" spans="1:6" x14ac:dyDescent="0.25">
      <c r="A53" s="6">
        <v>51</v>
      </c>
      <c r="B53" s="4"/>
      <c r="C53" s="4"/>
      <c r="D53" s="4"/>
      <c r="E53" s="25"/>
      <c r="F53" s="17"/>
    </row>
    <row r="54" spans="1:6" x14ac:dyDescent="0.25">
      <c r="A54" s="6">
        <v>52</v>
      </c>
      <c r="B54" s="4"/>
      <c r="C54" s="4"/>
      <c r="D54" s="4"/>
      <c r="E54" s="25"/>
      <c r="F54" s="17"/>
    </row>
    <row r="55" spans="1:6" x14ac:dyDescent="0.25">
      <c r="A55" s="6">
        <v>53</v>
      </c>
      <c r="B55" s="4"/>
      <c r="C55" s="4"/>
      <c r="D55" s="4"/>
      <c r="E55" s="25"/>
      <c r="F55" s="17"/>
    </row>
    <row r="56" spans="1:6" x14ac:dyDescent="0.25">
      <c r="A56" s="6">
        <v>54</v>
      </c>
      <c r="B56" s="4"/>
      <c r="C56" s="4"/>
      <c r="D56" s="4"/>
      <c r="E56" s="25"/>
      <c r="F56" s="17"/>
    </row>
    <row r="57" spans="1:6" x14ac:dyDescent="0.25">
      <c r="A57" s="6">
        <v>55</v>
      </c>
      <c r="B57" s="4"/>
      <c r="C57" s="4"/>
      <c r="D57" s="4"/>
      <c r="E57" s="25"/>
      <c r="F57" s="17"/>
    </row>
    <row r="58" spans="1:6" x14ac:dyDescent="0.25">
      <c r="A58" s="6">
        <v>56</v>
      </c>
      <c r="B58" s="4"/>
      <c r="C58" s="4"/>
      <c r="D58" s="4"/>
      <c r="E58" s="25"/>
      <c r="F58" s="17"/>
    </row>
    <row r="59" spans="1:6" x14ac:dyDescent="0.25">
      <c r="A59" s="6">
        <v>57</v>
      </c>
      <c r="B59" s="4"/>
      <c r="C59" s="4"/>
      <c r="D59" s="4"/>
      <c r="E59" s="25"/>
      <c r="F59" s="17"/>
    </row>
    <row r="60" spans="1:6" x14ac:dyDescent="0.25">
      <c r="A60" s="6">
        <v>58</v>
      </c>
      <c r="B60" s="4"/>
      <c r="C60" s="4"/>
      <c r="D60" s="4"/>
      <c r="E60" s="25"/>
      <c r="F60" s="17"/>
    </row>
    <row r="61" spans="1:6" x14ac:dyDescent="0.25">
      <c r="A61" s="6">
        <v>59</v>
      </c>
      <c r="B61" s="4"/>
      <c r="C61" s="4"/>
      <c r="D61" s="4"/>
      <c r="E61" s="25"/>
      <c r="F61" s="17"/>
    </row>
    <row r="62" spans="1:6" x14ac:dyDescent="0.25">
      <c r="A62" s="6">
        <v>60</v>
      </c>
      <c r="B62" s="4"/>
      <c r="C62" s="4"/>
      <c r="D62" s="4"/>
      <c r="E62" s="25"/>
      <c r="F62" s="17"/>
    </row>
    <row r="63" spans="1:6" x14ac:dyDescent="0.25">
      <c r="A63" s="6">
        <v>61</v>
      </c>
      <c r="B63" s="4"/>
      <c r="C63" s="4"/>
      <c r="D63" s="4"/>
      <c r="E63" s="25"/>
      <c r="F63" s="17"/>
    </row>
    <row r="64" spans="1:6" x14ac:dyDescent="0.25">
      <c r="A64" s="6">
        <v>62</v>
      </c>
      <c r="B64" s="4"/>
      <c r="C64" s="4"/>
      <c r="D64" s="4"/>
      <c r="E64" s="25"/>
      <c r="F64" s="17"/>
    </row>
    <row r="65" spans="1:6" x14ac:dyDescent="0.25">
      <c r="A65" s="6">
        <v>63</v>
      </c>
      <c r="B65" s="4"/>
      <c r="C65" s="4"/>
      <c r="D65" s="4"/>
      <c r="E65" s="25"/>
      <c r="F65" s="17"/>
    </row>
    <row r="66" spans="1:6" x14ac:dyDescent="0.25">
      <c r="A66" s="6">
        <v>64</v>
      </c>
      <c r="B66" s="4"/>
      <c r="C66" s="4"/>
      <c r="D66" s="4"/>
      <c r="E66" s="25"/>
      <c r="F66" s="17"/>
    </row>
    <row r="67" spans="1:6" x14ac:dyDescent="0.25">
      <c r="A67" s="6">
        <v>65</v>
      </c>
      <c r="B67" s="4"/>
      <c r="C67" s="4"/>
      <c r="D67" s="4"/>
      <c r="E67" s="25"/>
      <c r="F67" s="17"/>
    </row>
    <row r="68" spans="1:6" x14ac:dyDescent="0.25">
      <c r="A68" s="6">
        <v>66</v>
      </c>
      <c r="B68" s="4"/>
      <c r="C68" s="4"/>
      <c r="D68" s="4"/>
      <c r="E68" s="25"/>
      <c r="F68" s="17"/>
    </row>
    <row r="69" spans="1:6" x14ac:dyDescent="0.25">
      <c r="A69" s="6">
        <v>67</v>
      </c>
      <c r="B69" s="4"/>
      <c r="C69" s="4"/>
      <c r="D69" s="4"/>
      <c r="E69" s="25"/>
      <c r="F69" s="17"/>
    </row>
    <row r="70" spans="1:6" x14ac:dyDescent="0.25">
      <c r="A70" s="6">
        <v>68</v>
      </c>
      <c r="B70" s="4"/>
      <c r="C70" s="4"/>
      <c r="D70" s="4"/>
      <c r="E70" s="25"/>
      <c r="F70" s="17"/>
    </row>
    <row r="71" spans="1:6" x14ac:dyDescent="0.25">
      <c r="A71" s="6">
        <v>69</v>
      </c>
      <c r="B71" s="4"/>
      <c r="C71" s="4"/>
      <c r="D71" s="4"/>
      <c r="E71" s="25"/>
      <c r="F71" s="17"/>
    </row>
    <row r="72" spans="1:6" x14ac:dyDescent="0.25">
      <c r="A72" s="6">
        <v>70</v>
      </c>
      <c r="B72" s="4"/>
      <c r="C72" s="4"/>
      <c r="D72" s="4"/>
      <c r="E72" s="25"/>
      <c r="F72" s="17"/>
    </row>
    <row r="73" spans="1:6" x14ac:dyDescent="0.25">
      <c r="A73" s="6">
        <v>71</v>
      </c>
      <c r="B73" s="4"/>
      <c r="C73" s="4"/>
      <c r="D73" s="4"/>
      <c r="E73" s="25"/>
      <c r="F73" s="17"/>
    </row>
    <row r="74" spans="1:6" x14ac:dyDescent="0.25">
      <c r="A74" s="6">
        <v>72</v>
      </c>
      <c r="B74" s="4"/>
      <c r="C74" s="4"/>
      <c r="D74" s="4"/>
      <c r="E74" s="25"/>
      <c r="F74" s="17"/>
    </row>
    <row r="75" spans="1:6" x14ac:dyDescent="0.25">
      <c r="A75" s="6">
        <v>73</v>
      </c>
      <c r="B75" s="4"/>
      <c r="C75" s="4"/>
      <c r="D75" s="4"/>
      <c r="E75" s="25"/>
      <c r="F75" s="17"/>
    </row>
    <row r="76" spans="1:6" x14ac:dyDescent="0.25">
      <c r="A76" s="6">
        <v>74</v>
      </c>
      <c r="B76" s="4"/>
      <c r="C76" s="4"/>
      <c r="D76" s="4"/>
      <c r="E76" s="25"/>
      <c r="F76" s="17"/>
    </row>
    <row r="77" spans="1:6" x14ac:dyDescent="0.25">
      <c r="A77" s="6">
        <v>75</v>
      </c>
      <c r="B77" s="4"/>
      <c r="C77" s="4"/>
      <c r="D77" s="4"/>
      <c r="E77" s="25"/>
      <c r="F77" s="17"/>
    </row>
    <row r="78" spans="1:6" x14ac:dyDescent="0.25">
      <c r="A78" s="6">
        <v>76</v>
      </c>
      <c r="B78" s="4"/>
      <c r="C78" s="4"/>
      <c r="D78" s="4"/>
      <c r="E78" s="25"/>
      <c r="F78" s="17"/>
    </row>
    <row r="79" spans="1:6" x14ac:dyDescent="0.25">
      <c r="A79" s="6">
        <v>77</v>
      </c>
      <c r="B79" s="4"/>
      <c r="C79" s="4"/>
      <c r="D79" s="4"/>
      <c r="E79" s="25"/>
      <c r="F79" s="17"/>
    </row>
    <row r="80" spans="1:6" x14ac:dyDescent="0.25">
      <c r="A80" s="6">
        <v>78</v>
      </c>
      <c r="B80" s="4"/>
      <c r="C80" s="4"/>
      <c r="D80" s="4"/>
      <c r="E80" s="25"/>
      <c r="F80" s="17"/>
    </row>
    <row r="81" spans="1:6" x14ac:dyDescent="0.25">
      <c r="A81" s="6">
        <v>79</v>
      </c>
      <c r="B81" s="4"/>
      <c r="C81" s="4"/>
      <c r="D81" s="4"/>
      <c r="E81" s="25"/>
      <c r="F81" s="17"/>
    </row>
    <row r="82" spans="1:6" x14ac:dyDescent="0.25">
      <c r="A82" s="6">
        <v>80</v>
      </c>
      <c r="B82" s="4"/>
      <c r="C82" s="4"/>
      <c r="D82" s="4"/>
      <c r="E82" s="25"/>
      <c r="F82" s="17"/>
    </row>
    <row r="83" spans="1:6" x14ac:dyDescent="0.25">
      <c r="A83" s="6">
        <v>81</v>
      </c>
      <c r="B83" s="4"/>
      <c r="C83" s="4"/>
      <c r="D83" s="4"/>
      <c r="E83" s="25"/>
      <c r="F83" s="17"/>
    </row>
    <row r="84" spans="1:6" x14ac:dyDescent="0.25">
      <c r="A84" s="6">
        <v>82</v>
      </c>
      <c r="B84" s="4"/>
      <c r="C84" s="4"/>
      <c r="D84" s="4"/>
      <c r="E84" s="25"/>
      <c r="F84" s="17"/>
    </row>
    <row r="85" spans="1:6" x14ac:dyDescent="0.25">
      <c r="A85" s="6">
        <v>83</v>
      </c>
      <c r="B85" s="4"/>
      <c r="C85" s="4"/>
      <c r="D85" s="4"/>
      <c r="E85" s="25"/>
      <c r="F85" s="17"/>
    </row>
    <row r="86" spans="1:6" x14ac:dyDescent="0.25">
      <c r="A86" s="6">
        <v>84</v>
      </c>
      <c r="B86" s="4"/>
      <c r="C86" s="4"/>
      <c r="D86" s="4"/>
      <c r="E86" s="25"/>
      <c r="F86" s="17"/>
    </row>
    <row r="87" spans="1:6" x14ac:dyDescent="0.25">
      <c r="A87" s="6">
        <v>85</v>
      </c>
      <c r="B87" s="4"/>
      <c r="C87" s="4"/>
      <c r="D87" s="4"/>
      <c r="E87" s="25"/>
      <c r="F87" s="17"/>
    </row>
    <row r="88" spans="1:6" x14ac:dyDescent="0.25">
      <c r="A88" s="6">
        <v>86</v>
      </c>
      <c r="B88" s="4"/>
      <c r="C88" s="4"/>
      <c r="D88" s="4"/>
      <c r="E88" s="25"/>
      <c r="F88" s="17"/>
    </row>
    <row r="89" spans="1:6" x14ac:dyDescent="0.25">
      <c r="A89" s="6">
        <v>87</v>
      </c>
      <c r="B89" s="4"/>
      <c r="C89" s="4"/>
      <c r="D89" s="4"/>
      <c r="E89" s="25"/>
      <c r="F89" s="17"/>
    </row>
    <row r="90" spans="1:6" x14ac:dyDescent="0.25">
      <c r="A90" s="6">
        <v>88</v>
      </c>
      <c r="B90" s="4"/>
      <c r="C90" s="4"/>
      <c r="D90" s="4"/>
      <c r="E90" s="25"/>
      <c r="F90" s="17"/>
    </row>
    <row r="91" spans="1:6" x14ac:dyDescent="0.25">
      <c r="A91" s="6">
        <v>89</v>
      </c>
      <c r="B91" s="4"/>
      <c r="C91" s="4"/>
      <c r="D91" s="4"/>
      <c r="E91" s="25"/>
      <c r="F91" s="17"/>
    </row>
    <row r="92" spans="1:6" x14ac:dyDescent="0.25">
      <c r="A92" s="6">
        <v>90</v>
      </c>
      <c r="B92" s="4"/>
      <c r="C92" s="4"/>
      <c r="D92" s="4"/>
      <c r="E92" s="25"/>
      <c r="F92" s="17"/>
    </row>
    <row r="93" spans="1:6" x14ac:dyDescent="0.25">
      <c r="A93" s="6">
        <v>91</v>
      </c>
      <c r="B93" s="4"/>
      <c r="C93" s="4"/>
      <c r="D93" s="4"/>
      <c r="E93" s="25"/>
      <c r="F93" s="17"/>
    </row>
    <row r="94" spans="1:6" x14ac:dyDescent="0.25">
      <c r="A94" s="6">
        <v>92</v>
      </c>
      <c r="B94" s="4"/>
      <c r="C94" s="4"/>
      <c r="D94" s="4"/>
      <c r="E94" s="25"/>
      <c r="F94" s="17"/>
    </row>
    <row r="95" spans="1:6" x14ac:dyDescent="0.25">
      <c r="A95" s="6">
        <v>93</v>
      </c>
      <c r="B95" s="4"/>
      <c r="C95" s="4"/>
      <c r="D95" s="4"/>
      <c r="E95" s="25"/>
      <c r="F95" s="17"/>
    </row>
    <row r="96" spans="1:6" x14ac:dyDescent="0.25">
      <c r="A96" s="6">
        <v>94</v>
      </c>
      <c r="B96" s="4"/>
      <c r="C96" s="4"/>
      <c r="D96" s="4"/>
      <c r="E96" s="25"/>
      <c r="F96" s="17"/>
    </row>
    <row r="97" spans="1:6" x14ac:dyDescent="0.25">
      <c r="A97" s="6">
        <v>95</v>
      </c>
      <c r="B97" s="4"/>
      <c r="C97" s="4"/>
      <c r="D97" s="4"/>
      <c r="E97" s="25"/>
      <c r="F97" s="17"/>
    </row>
    <row r="98" spans="1:6" x14ac:dyDescent="0.25">
      <c r="A98" s="6">
        <v>96</v>
      </c>
      <c r="B98" s="4"/>
      <c r="C98" s="4"/>
      <c r="D98" s="4"/>
      <c r="E98" s="25"/>
      <c r="F98" s="17"/>
    </row>
    <row r="99" spans="1:6" x14ac:dyDescent="0.25">
      <c r="A99" s="6">
        <v>97</v>
      </c>
      <c r="B99" s="4"/>
      <c r="C99" s="4"/>
      <c r="D99" s="4"/>
      <c r="E99" s="25"/>
      <c r="F99" s="17"/>
    </row>
    <row r="100" spans="1:6" x14ac:dyDescent="0.25">
      <c r="A100" s="6">
        <v>98</v>
      </c>
      <c r="B100" s="4"/>
      <c r="C100" s="4"/>
      <c r="D100" s="4"/>
      <c r="E100" s="25"/>
      <c r="F100" s="17"/>
    </row>
    <row r="101" spans="1:6" x14ac:dyDescent="0.25">
      <c r="A101" s="6">
        <v>99</v>
      </c>
      <c r="B101" s="4"/>
      <c r="C101" s="4"/>
      <c r="D101" s="4"/>
      <c r="E101" s="25"/>
      <c r="F101" s="17"/>
    </row>
    <row r="102" spans="1:6" x14ac:dyDescent="0.25">
      <c r="A102" s="6">
        <v>100</v>
      </c>
      <c r="B102" s="4"/>
      <c r="C102" s="4"/>
      <c r="D102" s="4"/>
      <c r="E102" s="25"/>
      <c r="F102" s="17"/>
    </row>
    <row r="103" spans="1:6" x14ac:dyDescent="0.25">
      <c r="A103" s="6">
        <v>101</v>
      </c>
      <c r="B103" s="4"/>
      <c r="C103" s="4"/>
      <c r="D103" s="4"/>
      <c r="E103" s="25"/>
      <c r="F103" s="17"/>
    </row>
    <row r="104" spans="1:6" x14ac:dyDescent="0.25">
      <c r="A104" s="6">
        <v>102</v>
      </c>
      <c r="B104" s="4"/>
      <c r="C104" s="4"/>
      <c r="D104" s="4"/>
      <c r="E104" s="25"/>
      <c r="F104" s="17"/>
    </row>
    <row r="105" spans="1:6" x14ac:dyDescent="0.25">
      <c r="A105" s="6">
        <v>103</v>
      </c>
      <c r="B105" s="4"/>
      <c r="C105" s="4"/>
      <c r="D105" s="4"/>
      <c r="E105" s="25"/>
      <c r="F105" s="17"/>
    </row>
    <row r="106" spans="1:6" x14ac:dyDescent="0.25">
      <c r="A106" s="6">
        <v>104</v>
      </c>
      <c r="B106" s="4"/>
      <c r="C106" s="4"/>
      <c r="D106" s="4"/>
      <c r="E106" s="25"/>
      <c r="F106" s="17"/>
    </row>
    <row r="107" spans="1:6" x14ac:dyDescent="0.25">
      <c r="A107" s="6">
        <v>105</v>
      </c>
      <c r="B107" s="4"/>
      <c r="C107" s="4"/>
      <c r="D107" s="4"/>
      <c r="E107" s="25"/>
      <c r="F107" s="17"/>
    </row>
    <row r="108" spans="1:6" x14ac:dyDescent="0.25">
      <c r="A108" s="6">
        <v>106</v>
      </c>
      <c r="B108" s="4"/>
      <c r="C108" s="4"/>
      <c r="D108" s="4"/>
      <c r="E108" s="25"/>
      <c r="F108" s="17"/>
    </row>
    <row r="109" spans="1:6" x14ac:dyDescent="0.25">
      <c r="A109" s="6">
        <v>107</v>
      </c>
      <c r="B109" s="4"/>
      <c r="C109" s="4"/>
      <c r="D109" s="4"/>
      <c r="E109" s="25"/>
      <c r="F109" s="17"/>
    </row>
    <row r="110" spans="1:6" x14ac:dyDescent="0.25">
      <c r="A110" s="6">
        <v>108</v>
      </c>
      <c r="B110" s="4"/>
      <c r="C110" s="4"/>
      <c r="D110" s="4"/>
      <c r="E110" s="25"/>
      <c r="F110" s="17"/>
    </row>
    <row r="111" spans="1:6" x14ac:dyDescent="0.25">
      <c r="A111" s="6">
        <v>109</v>
      </c>
      <c r="B111" s="4"/>
      <c r="C111" s="4"/>
      <c r="D111" s="4"/>
      <c r="E111" s="25"/>
      <c r="F111" s="17"/>
    </row>
    <row r="112" spans="1:6" x14ac:dyDescent="0.25">
      <c r="A112" s="6">
        <v>110</v>
      </c>
      <c r="B112" s="4"/>
      <c r="C112" s="4"/>
      <c r="D112" s="4"/>
      <c r="E112" s="25"/>
      <c r="F112" s="17"/>
    </row>
    <row r="113" spans="1:6" x14ac:dyDescent="0.25">
      <c r="A113" s="6">
        <v>111</v>
      </c>
      <c r="B113" s="4"/>
      <c r="C113" s="4"/>
      <c r="D113" s="4"/>
      <c r="E113" s="25"/>
      <c r="F113" s="17"/>
    </row>
    <row r="114" spans="1:6" x14ac:dyDescent="0.25">
      <c r="A114" s="6">
        <v>112</v>
      </c>
      <c r="B114" s="4"/>
      <c r="C114" s="4"/>
      <c r="D114" s="4"/>
      <c r="E114" s="25"/>
      <c r="F114" s="17"/>
    </row>
    <row r="115" spans="1:6" x14ac:dyDescent="0.25">
      <c r="A115" s="6">
        <v>113</v>
      </c>
      <c r="B115" s="4"/>
      <c r="C115" s="4"/>
      <c r="D115" s="4"/>
      <c r="E115" s="25"/>
      <c r="F115" s="17"/>
    </row>
    <row r="116" spans="1:6" x14ac:dyDescent="0.25">
      <c r="A116" s="6">
        <v>114</v>
      </c>
      <c r="B116" s="4"/>
      <c r="C116" s="4"/>
      <c r="D116" s="4"/>
      <c r="E116" s="25"/>
      <c r="F116" s="17"/>
    </row>
    <row r="117" spans="1:6" x14ac:dyDescent="0.25">
      <c r="A117" s="6">
        <v>115</v>
      </c>
      <c r="B117" s="4"/>
      <c r="C117" s="4"/>
      <c r="D117" s="4"/>
      <c r="E117" s="25"/>
      <c r="F117" s="17"/>
    </row>
    <row r="118" spans="1:6" x14ac:dyDescent="0.25">
      <c r="A118" s="6">
        <v>116</v>
      </c>
      <c r="B118" s="4"/>
      <c r="C118" s="4"/>
      <c r="D118" s="4"/>
      <c r="E118" s="25"/>
      <c r="F118" s="17"/>
    </row>
    <row r="119" spans="1:6" x14ac:dyDescent="0.25">
      <c r="A119" s="6">
        <v>117</v>
      </c>
      <c r="B119" s="4"/>
      <c r="C119" s="4"/>
      <c r="D119" s="4"/>
      <c r="E119" s="25"/>
      <c r="F119" s="17"/>
    </row>
    <row r="120" spans="1:6" x14ac:dyDescent="0.25">
      <c r="A120" s="6">
        <v>118</v>
      </c>
      <c r="B120" s="4"/>
      <c r="C120" s="4"/>
      <c r="D120" s="4"/>
      <c r="E120" s="25"/>
      <c r="F120" s="17"/>
    </row>
    <row r="121" spans="1:6" x14ac:dyDescent="0.25">
      <c r="A121" s="6">
        <v>119</v>
      </c>
      <c r="B121" s="4"/>
      <c r="C121" s="4"/>
      <c r="D121" s="4"/>
      <c r="E121" s="25"/>
      <c r="F121" s="17"/>
    </row>
    <row r="122" spans="1:6" x14ac:dyDescent="0.25">
      <c r="A122" s="6">
        <v>120</v>
      </c>
      <c r="B122" s="4"/>
      <c r="C122" s="4"/>
      <c r="D122" s="4"/>
      <c r="E122" s="25"/>
      <c r="F122" s="17"/>
    </row>
    <row r="123" spans="1:6" x14ac:dyDescent="0.25">
      <c r="A123" s="6">
        <v>121</v>
      </c>
      <c r="B123" s="4"/>
      <c r="C123" s="4"/>
      <c r="D123" s="4"/>
      <c r="E123" s="25"/>
      <c r="F123" s="17"/>
    </row>
    <row r="124" spans="1:6" x14ac:dyDescent="0.25">
      <c r="A124" s="6">
        <v>122</v>
      </c>
      <c r="B124" s="4"/>
      <c r="C124" s="4"/>
      <c r="D124" s="4"/>
      <c r="E124" s="25"/>
      <c r="F124" s="17"/>
    </row>
    <row r="125" spans="1:6" x14ac:dyDescent="0.25">
      <c r="A125" s="6">
        <v>123</v>
      </c>
      <c r="B125" s="4"/>
      <c r="C125" s="4"/>
      <c r="D125" s="4"/>
      <c r="E125" s="25"/>
      <c r="F125" s="17"/>
    </row>
    <row r="126" spans="1:6" x14ac:dyDescent="0.25">
      <c r="A126" s="6">
        <v>124</v>
      </c>
      <c r="B126" s="4"/>
      <c r="C126" s="4"/>
      <c r="D126" s="4"/>
      <c r="E126" s="25"/>
      <c r="F126" s="17"/>
    </row>
    <row r="127" spans="1:6" x14ac:dyDescent="0.25">
      <c r="A127" s="6">
        <v>125</v>
      </c>
      <c r="B127" s="4"/>
      <c r="C127" s="4"/>
      <c r="D127" s="4"/>
      <c r="E127" s="25"/>
      <c r="F127" s="17"/>
    </row>
    <row r="128" spans="1:6" x14ac:dyDescent="0.25">
      <c r="A128" s="6">
        <v>126</v>
      </c>
      <c r="B128" s="4"/>
      <c r="C128" s="4"/>
      <c r="D128" s="4"/>
      <c r="E128" s="25"/>
      <c r="F128" s="17"/>
    </row>
    <row r="129" spans="1:6" x14ac:dyDescent="0.25">
      <c r="A129" s="6">
        <v>127</v>
      </c>
      <c r="B129" s="4"/>
      <c r="C129" s="4"/>
      <c r="D129" s="4"/>
      <c r="E129" s="25"/>
      <c r="F129" s="17"/>
    </row>
    <row r="130" spans="1:6" x14ac:dyDescent="0.25">
      <c r="A130" s="6">
        <v>128</v>
      </c>
      <c r="B130" s="4"/>
      <c r="C130" s="4"/>
      <c r="D130" s="4"/>
      <c r="E130" s="25"/>
      <c r="F130" s="17"/>
    </row>
    <row r="131" spans="1:6" x14ac:dyDescent="0.25">
      <c r="A131" s="6">
        <v>129</v>
      </c>
      <c r="B131" s="4"/>
      <c r="C131" s="4"/>
      <c r="D131" s="4"/>
      <c r="E131" s="25"/>
      <c r="F131" s="17"/>
    </row>
    <row r="132" spans="1:6" x14ac:dyDescent="0.25">
      <c r="A132" s="6">
        <v>130</v>
      </c>
      <c r="B132" s="4"/>
      <c r="C132" s="4"/>
      <c r="D132" s="4"/>
      <c r="E132" s="25"/>
      <c r="F132" s="17"/>
    </row>
    <row r="133" spans="1:6" x14ac:dyDescent="0.25">
      <c r="A133" s="6">
        <v>131</v>
      </c>
      <c r="B133" s="4"/>
      <c r="C133" s="4"/>
      <c r="D133" s="4"/>
      <c r="E133" s="25"/>
      <c r="F133" s="17"/>
    </row>
    <row r="134" spans="1:6" x14ac:dyDescent="0.25">
      <c r="A134" s="6">
        <v>132</v>
      </c>
      <c r="B134" s="4"/>
      <c r="C134" s="4"/>
      <c r="D134" s="4"/>
      <c r="E134" s="25"/>
      <c r="F134" s="17"/>
    </row>
    <row r="135" spans="1:6" x14ac:dyDescent="0.25">
      <c r="A135" s="6">
        <v>133</v>
      </c>
      <c r="B135" s="4"/>
      <c r="C135" s="4"/>
      <c r="D135" s="4"/>
      <c r="E135" s="25"/>
      <c r="F135" s="17"/>
    </row>
    <row r="136" spans="1:6" x14ac:dyDescent="0.25">
      <c r="A136" s="6">
        <v>134</v>
      </c>
      <c r="B136" s="4"/>
      <c r="C136" s="4"/>
      <c r="D136" s="4"/>
      <c r="E136" s="25"/>
      <c r="F136" s="17"/>
    </row>
    <row r="137" spans="1:6" x14ac:dyDescent="0.25">
      <c r="A137" s="6">
        <v>135</v>
      </c>
      <c r="B137" s="4"/>
      <c r="C137" s="4"/>
      <c r="D137" s="4"/>
      <c r="E137" s="25"/>
      <c r="F137" s="17"/>
    </row>
    <row r="138" spans="1:6" x14ac:dyDescent="0.25">
      <c r="A138" s="6">
        <v>136</v>
      </c>
      <c r="B138" s="4"/>
      <c r="C138" s="4"/>
      <c r="D138" s="4"/>
      <c r="E138" s="25"/>
      <c r="F138" s="17"/>
    </row>
    <row r="139" spans="1:6" x14ac:dyDescent="0.25">
      <c r="A139" s="6">
        <v>137</v>
      </c>
      <c r="B139" s="4"/>
      <c r="C139" s="4"/>
      <c r="D139" s="4"/>
      <c r="E139" s="25"/>
      <c r="F139" s="17"/>
    </row>
    <row r="140" spans="1:6" x14ac:dyDescent="0.25">
      <c r="A140" s="6">
        <v>138</v>
      </c>
      <c r="B140" s="4"/>
      <c r="C140" s="4"/>
      <c r="D140" s="4"/>
      <c r="E140" s="25"/>
      <c r="F140" s="17"/>
    </row>
    <row r="141" spans="1:6" x14ac:dyDescent="0.25">
      <c r="A141" s="6">
        <v>139</v>
      </c>
      <c r="B141" s="4"/>
      <c r="C141" s="4"/>
      <c r="D141" s="4"/>
      <c r="E141" s="25"/>
      <c r="F141" s="17"/>
    </row>
    <row r="142" spans="1:6" x14ac:dyDescent="0.25">
      <c r="A142" s="6">
        <v>140</v>
      </c>
      <c r="B142" s="4"/>
      <c r="C142" s="4"/>
      <c r="D142" s="4"/>
      <c r="E142" s="25"/>
      <c r="F142" s="17"/>
    </row>
    <row r="143" spans="1:6" x14ac:dyDescent="0.25">
      <c r="A143" s="6">
        <v>141</v>
      </c>
      <c r="B143" s="4"/>
      <c r="C143" s="4"/>
      <c r="D143" s="4"/>
      <c r="E143" s="25"/>
      <c r="F143" s="17"/>
    </row>
    <row r="144" spans="1:6" x14ac:dyDescent="0.25">
      <c r="A144" s="6">
        <v>142</v>
      </c>
      <c r="B144" s="4"/>
      <c r="C144" s="4"/>
      <c r="D144" s="4"/>
      <c r="E144" s="25"/>
      <c r="F144" s="17"/>
    </row>
    <row r="145" spans="1:6" x14ac:dyDescent="0.25">
      <c r="A145" s="6">
        <v>143</v>
      </c>
      <c r="B145" s="4"/>
      <c r="C145" s="4"/>
      <c r="D145" s="4"/>
      <c r="E145" s="25"/>
      <c r="F145" s="17"/>
    </row>
    <row r="146" spans="1:6" x14ac:dyDescent="0.25">
      <c r="A146" s="6">
        <v>144</v>
      </c>
      <c r="B146" s="4"/>
      <c r="C146" s="4"/>
      <c r="D146" s="4"/>
      <c r="E146" s="25"/>
      <c r="F146" s="17"/>
    </row>
    <row r="147" spans="1:6" x14ac:dyDescent="0.25">
      <c r="A147" s="6">
        <v>145</v>
      </c>
      <c r="B147" s="4"/>
      <c r="C147" s="4"/>
      <c r="D147" s="4"/>
      <c r="E147" s="25"/>
      <c r="F147" s="17"/>
    </row>
    <row r="148" spans="1:6" x14ac:dyDescent="0.25">
      <c r="A148" s="6">
        <v>146</v>
      </c>
      <c r="B148" s="4"/>
      <c r="C148" s="4"/>
      <c r="D148" s="4"/>
      <c r="E148" s="25"/>
      <c r="F148" s="17"/>
    </row>
    <row r="149" spans="1:6" x14ac:dyDescent="0.25">
      <c r="A149" s="6">
        <v>147</v>
      </c>
      <c r="B149" s="4"/>
      <c r="C149" s="4"/>
      <c r="D149" s="4"/>
      <c r="E149" s="25"/>
      <c r="F149" s="17"/>
    </row>
    <row r="150" spans="1:6" x14ac:dyDescent="0.25">
      <c r="A150" s="6">
        <v>148</v>
      </c>
      <c r="B150" s="4"/>
      <c r="C150" s="4"/>
      <c r="D150" s="4"/>
      <c r="E150" s="25"/>
      <c r="F150" s="17"/>
    </row>
    <row r="151" spans="1:6" x14ac:dyDescent="0.25">
      <c r="A151" s="6">
        <v>149</v>
      </c>
      <c r="B151" s="4"/>
      <c r="C151" s="4"/>
      <c r="D151" s="4"/>
      <c r="E151" s="25"/>
      <c r="F151" s="17"/>
    </row>
    <row r="152" spans="1:6" x14ac:dyDescent="0.25">
      <c r="A152" s="6">
        <v>150</v>
      </c>
      <c r="B152" s="4"/>
      <c r="C152" s="4"/>
      <c r="D152" s="4"/>
      <c r="E152" s="25"/>
      <c r="F152" s="17"/>
    </row>
    <row r="153" spans="1:6" x14ac:dyDescent="0.25">
      <c r="A153" s="6">
        <v>151</v>
      </c>
      <c r="B153" s="4"/>
      <c r="C153" s="4"/>
      <c r="D153" s="4"/>
      <c r="E153" s="25"/>
      <c r="F153" s="17"/>
    </row>
    <row r="154" spans="1:6" x14ac:dyDescent="0.25">
      <c r="A154" s="6">
        <v>152</v>
      </c>
      <c r="B154" s="4"/>
      <c r="C154" s="4"/>
      <c r="D154" s="4"/>
      <c r="E154" s="25"/>
      <c r="F154" s="17"/>
    </row>
    <row r="155" spans="1:6" x14ac:dyDescent="0.25">
      <c r="A155" s="6">
        <v>153</v>
      </c>
      <c r="B155" s="4"/>
      <c r="C155" s="4"/>
      <c r="D155" s="4"/>
      <c r="E155" s="25"/>
      <c r="F155" s="17"/>
    </row>
    <row r="156" spans="1:6" x14ac:dyDescent="0.25">
      <c r="A156" s="6">
        <v>154</v>
      </c>
      <c r="B156" s="4"/>
      <c r="C156" s="4"/>
      <c r="D156" s="4"/>
      <c r="E156" s="25"/>
      <c r="F156" s="17"/>
    </row>
    <row r="157" spans="1:6" x14ac:dyDescent="0.25">
      <c r="A157" s="6">
        <v>155</v>
      </c>
      <c r="B157" s="4"/>
      <c r="C157" s="4"/>
      <c r="D157" s="4"/>
      <c r="E157" s="25"/>
      <c r="F157" s="17"/>
    </row>
    <row r="158" spans="1:6" x14ac:dyDescent="0.25">
      <c r="A158" s="6">
        <v>156</v>
      </c>
      <c r="B158" s="4"/>
      <c r="C158" s="4"/>
      <c r="D158" s="4"/>
      <c r="E158" s="25"/>
      <c r="F158" s="17"/>
    </row>
    <row r="159" spans="1:6" x14ac:dyDescent="0.25">
      <c r="A159" s="6">
        <v>157</v>
      </c>
      <c r="B159" s="4"/>
      <c r="C159" s="4"/>
      <c r="D159" s="4"/>
      <c r="E159" s="25"/>
      <c r="F159" s="17"/>
    </row>
    <row r="160" spans="1:6" x14ac:dyDescent="0.25">
      <c r="A160" s="6">
        <v>158</v>
      </c>
      <c r="B160" s="4"/>
      <c r="C160" s="4"/>
      <c r="D160" s="4"/>
      <c r="E160" s="25"/>
      <c r="F160" s="17"/>
    </row>
    <row r="161" spans="1:6" x14ac:dyDescent="0.25">
      <c r="A161" s="6">
        <v>159</v>
      </c>
      <c r="B161" s="4"/>
      <c r="C161" s="4"/>
      <c r="D161" s="4"/>
      <c r="E161" s="25"/>
      <c r="F161" s="17"/>
    </row>
    <row r="162" spans="1:6" x14ac:dyDescent="0.25">
      <c r="A162" s="6">
        <v>160</v>
      </c>
      <c r="B162" s="4"/>
      <c r="C162" s="4"/>
      <c r="D162" s="4"/>
      <c r="E162" s="25"/>
      <c r="F162" s="17"/>
    </row>
    <row r="163" spans="1:6" x14ac:dyDescent="0.25">
      <c r="A163" s="6">
        <v>161</v>
      </c>
      <c r="B163" s="4"/>
      <c r="C163" s="4"/>
      <c r="D163" s="4"/>
      <c r="E163" s="25"/>
      <c r="F163" s="17"/>
    </row>
    <row r="164" spans="1:6" x14ac:dyDescent="0.25">
      <c r="A164" s="6">
        <v>162</v>
      </c>
      <c r="B164" s="4"/>
      <c r="C164" s="4"/>
      <c r="D164" s="4"/>
      <c r="E164" s="25"/>
      <c r="F164" s="17"/>
    </row>
    <row r="165" spans="1:6" x14ac:dyDescent="0.25">
      <c r="A165" s="6">
        <v>163</v>
      </c>
      <c r="B165" s="4"/>
      <c r="C165" s="4"/>
      <c r="D165" s="4"/>
      <c r="E165" s="25"/>
      <c r="F165" s="17"/>
    </row>
    <row r="166" spans="1:6" x14ac:dyDescent="0.25">
      <c r="A166" s="6">
        <v>164</v>
      </c>
      <c r="B166" s="4"/>
      <c r="C166" s="4"/>
      <c r="D166" s="4"/>
      <c r="E166" s="25"/>
      <c r="F166" s="17"/>
    </row>
    <row r="167" spans="1:6" x14ac:dyDescent="0.25">
      <c r="A167" s="6">
        <v>165</v>
      </c>
      <c r="B167" s="4"/>
      <c r="C167" s="4"/>
      <c r="D167" s="4"/>
      <c r="E167" s="25"/>
      <c r="F167" s="17"/>
    </row>
    <row r="168" spans="1:6" x14ac:dyDescent="0.25">
      <c r="A168" s="6">
        <v>166</v>
      </c>
      <c r="B168" s="4"/>
      <c r="C168" s="4"/>
      <c r="D168" s="4"/>
      <c r="E168" s="25"/>
      <c r="F168" s="17"/>
    </row>
    <row r="169" spans="1:6" x14ac:dyDescent="0.25">
      <c r="A169" s="6">
        <v>167</v>
      </c>
      <c r="B169" s="4"/>
      <c r="C169" s="4"/>
      <c r="D169" s="4"/>
      <c r="E169" s="25"/>
      <c r="F169" s="17"/>
    </row>
    <row r="170" spans="1:6" x14ac:dyDescent="0.25">
      <c r="A170" s="6">
        <v>168</v>
      </c>
      <c r="B170" s="4"/>
      <c r="C170" s="4"/>
      <c r="D170" s="4"/>
      <c r="E170" s="25"/>
      <c r="F170" s="17"/>
    </row>
    <row r="171" spans="1:6" x14ac:dyDescent="0.25">
      <c r="A171" s="6">
        <v>169</v>
      </c>
      <c r="B171" s="4"/>
      <c r="C171" s="4"/>
      <c r="D171" s="4"/>
      <c r="E171" s="25"/>
      <c r="F171" s="17"/>
    </row>
    <row r="172" spans="1:6" x14ac:dyDescent="0.25">
      <c r="A172" s="6">
        <v>170</v>
      </c>
      <c r="B172" s="4"/>
      <c r="C172" s="4"/>
      <c r="D172" s="4"/>
      <c r="E172" s="25"/>
      <c r="F172" s="17"/>
    </row>
    <row r="173" spans="1:6" x14ac:dyDescent="0.25">
      <c r="A173" s="6">
        <v>171</v>
      </c>
      <c r="B173" s="4"/>
      <c r="C173" s="4"/>
      <c r="D173" s="4"/>
      <c r="E173" s="25"/>
      <c r="F173" s="17"/>
    </row>
    <row r="174" spans="1:6" x14ac:dyDescent="0.25">
      <c r="A174" s="6">
        <v>172</v>
      </c>
      <c r="B174" s="4"/>
      <c r="C174" s="4"/>
      <c r="D174" s="4"/>
      <c r="E174" s="25"/>
      <c r="F174" s="17"/>
    </row>
    <row r="175" spans="1:6" x14ac:dyDescent="0.25">
      <c r="A175" s="6">
        <v>173</v>
      </c>
      <c r="B175" s="4"/>
      <c r="C175" s="4"/>
      <c r="D175" s="4"/>
      <c r="E175" s="25"/>
      <c r="F175" s="17"/>
    </row>
    <row r="176" spans="1:6" x14ac:dyDescent="0.25">
      <c r="A176" s="6">
        <v>174</v>
      </c>
      <c r="B176" s="4"/>
      <c r="C176" s="4"/>
      <c r="D176" s="4"/>
      <c r="E176" s="25"/>
      <c r="F176" s="17"/>
    </row>
    <row r="177" spans="1:6" x14ac:dyDescent="0.25">
      <c r="A177" s="6">
        <v>175</v>
      </c>
      <c r="B177" s="4"/>
      <c r="C177" s="4"/>
      <c r="D177" s="4"/>
      <c r="E177" s="25"/>
      <c r="F177" s="17"/>
    </row>
    <row r="178" spans="1:6" x14ac:dyDescent="0.25">
      <c r="A178" s="6">
        <v>176</v>
      </c>
      <c r="B178" s="4"/>
      <c r="C178" s="4"/>
      <c r="D178" s="4"/>
      <c r="E178" s="25"/>
      <c r="F178" s="17"/>
    </row>
    <row r="179" spans="1:6" x14ac:dyDescent="0.25">
      <c r="A179" s="6">
        <v>177</v>
      </c>
      <c r="B179" s="4"/>
      <c r="C179" s="4"/>
      <c r="D179" s="4"/>
      <c r="E179" s="25"/>
      <c r="F179" s="17"/>
    </row>
    <row r="180" spans="1:6" x14ac:dyDescent="0.25">
      <c r="A180" s="6">
        <v>178</v>
      </c>
      <c r="B180" s="4"/>
      <c r="C180" s="4"/>
      <c r="D180" s="4"/>
      <c r="E180" s="25"/>
      <c r="F180" s="17"/>
    </row>
    <row r="181" spans="1:6" x14ac:dyDescent="0.25">
      <c r="A181" s="6">
        <v>179</v>
      </c>
      <c r="B181" s="4"/>
      <c r="C181" s="4"/>
      <c r="D181" s="4"/>
      <c r="E181" s="25"/>
      <c r="F181" s="17"/>
    </row>
  </sheetData>
  <mergeCells count="3">
    <mergeCell ref="H2:I2"/>
    <mergeCell ref="K2:L2"/>
    <mergeCell ref="N2:O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2:A13"/>
  <sheetViews>
    <sheetView workbookViewId="0">
      <selection activeCell="A13" sqref="A13"/>
    </sheetView>
  </sheetViews>
  <sheetFormatPr defaultRowHeight="15" x14ac:dyDescent="0.25"/>
  <cols>
    <col min="1" max="1" width="43.28515625" bestFit="1" customWidth="1"/>
  </cols>
  <sheetData>
    <row r="2" spans="1:1" x14ac:dyDescent="0.25">
      <c r="A2" s="21"/>
    </row>
    <row r="3" spans="1:1" x14ac:dyDescent="0.25">
      <c r="A3" s="5"/>
    </row>
    <row r="4" spans="1:1" x14ac:dyDescent="0.25">
      <c r="A4" t="s">
        <v>34</v>
      </c>
    </row>
    <row r="5" spans="1:1" x14ac:dyDescent="0.25">
      <c r="A5" t="s">
        <v>36</v>
      </c>
    </row>
    <row r="7" spans="1:1" x14ac:dyDescent="0.25">
      <c r="A7" t="s">
        <v>35</v>
      </c>
    </row>
    <row r="10" spans="1:1" x14ac:dyDescent="0.25">
      <c r="A10" t="s">
        <v>140</v>
      </c>
    </row>
    <row r="12" spans="1:1" x14ac:dyDescent="0.25">
      <c r="A12" t="s">
        <v>183</v>
      </c>
    </row>
    <row r="13" spans="1:1" x14ac:dyDescent="0.25">
      <c r="A13" t="s">
        <v>182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J17"/>
  <sheetViews>
    <sheetView workbookViewId="0">
      <selection activeCell="A11" sqref="A11:XFD11"/>
    </sheetView>
  </sheetViews>
  <sheetFormatPr defaultRowHeight="15" x14ac:dyDescent="0.25"/>
  <cols>
    <col min="1" max="1" width="20.85546875" bestFit="1" customWidth="1"/>
  </cols>
  <sheetData>
    <row r="1" spans="1:9" x14ac:dyDescent="0.25">
      <c r="A1" t="s">
        <v>55</v>
      </c>
    </row>
    <row r="2" spans="1:9" x14ac:dyDescent="0.25">
      <c r="A2" t="s">
        <v>59</v>
      </c>
      <c r="B2" t="s">
        <v>60</v>
      </c>
    </row>
    <row r="3" spans="1:9" x14ac:dyDescent="0.25">
      <c r="A3" t="s">
        <v>78</v>
      </c>
    </row>
    <row r="4" spans="1:9" x14ac:dyDescent="0.25">
      <c r="A4" t="s">
        <v>81</v>
      </c>
      <c r="B4" t="s">
        <v>82</v>
      </c>
    </row>
    <row r="5" spans="1:9" x14ac:dyDescent="0.25">
      <c r="A5" t="s">
        <v>90</v>
      </c>
    </row>
    <row r="6" spans="1:9" x14ac:dyDescent="0.25">
      <c r="A6" t="s">
        <v>91</v>
      </c>
    </row>
    <row r="7" spans="1:9" x14ac:dyDescent="0.25">
      <c r="A7" t="s">
        <v>73</v>
      </c>
    </row>
    <row r="8" spans="1:9" x14ac:dyDescent="0.25">
      <c r="A8" t="s">
        <v>185</v>
      </c>
    </row>
    <row r="9" spans="1:9" x14ac:dyDescent="0.25">
      <c r="A9" t="s">
        <v>186</v>
      </c>
    </row>
    <row r="10" spans="1:9" x14ac:dyDescent="0.25">
      <c r="A10" t="s">
        <v>3</v>
      </c>
    </row>
    <row r="15" spans="1:9" x14ac:dyDescent="0.25">
      <c r="I15">
        <v>2682</v>
      </c>
    </row>
    <row r="16" spans="1:9" x14ac:dyDescent="0.25">
      <c r="I16">
        <v>2267</v>
      </c>
    </row>
    <row r="17" spans="9:10" x14ac:dyDescent="0.25">
      <c r="I17">
        <v>4949</v>
      </c>
      <c r="J17">
        <f>I17-2650</f>
        <v>2299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Views>
    <sheetView workbookViewId="0">
      <selection activeCell="B1" sqref="B1:C4"/>
    </sheetView>
  </sheetViews>
  <sheetFormatPr defaultRowHeight="15" x14ac:dyDescent="0.25"/>
  <cols>
    <col min="2" max="2" width="11" bestFit="1" customWidth="1"/>
    <col min="3" max="3" width="13.140625" customWidth="1"/>
    <col min="4" max="4" width="18.28515625" bestFit="1" customWidth="1"/>
    <col min="7" max="7" width="18" bestFit="1" customWidth="1"/>
    <col min="8" max="8" width="11.7109375" bestFit="1" customWidth="1"/>
    <col min="9" max="9" width="12.7109375" bestFit="1" customWidth="1"/>
    <col min="10" max="10" width="11.7109375" bestFit="1" customWidth="1"/>
  </cols>
  <sheetData>
    <row r="1" spans="2:10" x14ac:dyDescent="0.25">
      <c r="B1" s="2" t="s">
        <v>207</v>
      </c>
      <c r="C1" s="2" t="s">
        <v>208</v>
      </c>
      <c r="D1" s="2" t="s">
        <v>209</v>
      </c>
      <c r="E1" s="2"/>
      <c r="F1" s="2"/>
      <c r="G1" s="2" t="s">
        <v>212</v>
      </c>
      <c r="H1" s="2" t="s">
        <v>213</v>
      </c>
      <c r="I1" s="2" t="s">
        <v>214</v>
      </c>
    </row>
    <row r="2" spans="2:10" x14ac:dyDescent="0.25">
      <c r="B2" s="2" t="s">
        <v>206</v>
      </c>
      <c r="C2" s="2">
        <v>30</v>
      </c>
      <c r="D2" s="2">
        <f>C2*12</f>
        <v>360</v>
      </c>
      <c r="E2" s="2">
        <f>30</f>
        <v>30</v>
      </c>
      <c r="F2" s="2"/>
      <c r="G2" s="148">
        <v>2000</v>
      </c>
      <c r="H2" s="137">
        <f>G2*E2</f>
        <v>60000</v>
      </c>
      <c r="I2" s="137">
        <f>H2*12</f>
        <v>720000</v>
      </c>
      <c r="J2" s="1"/>
    </row>
    <row r="3" spans="2:10" x14ac:dyDescent="0.25">
      <c r="B3" s="2" t="s">
        <v>210</v>
      </c>
      <c r="C3" s="2">
        <v>150</v>
      </c>
      <c r="D3" s="2">
        <v>300</v>
      </c>
      <c r="E3" s="2">
        <f>C3/6</f>
        <v>25</v>
      </c>
      <c r="F3" s="2"/>
      <c r="G3" s="148"/>
      <c r="H3" s="137">
        <f>G2*E3</f>
        <v>50000</v>
      </c>
      <c r="I3" s="137">
        <f>H3*12</f>
        <v>600000</v>
      </c>
    </row>
    <row r="4" spans="2:10" x14ac:dyDescent="0.25">
      <c r="B4" s="2" t="s">
        <v>211</v>
      </c>
      <c r="C4" s="2">
        <v>250</v>
      </c>
      <c r="D4" s="2"/>
      <c r="E4" s="139">
        <f>C4/12</f>
        <v>20.833333333333332</v>
      </c>
      <c r="F4" s="2"/>
      <c r="G4" s="148"/>
      <c r="H4" s="137">
        <f>E4*G2</f>
        <v>41666.666666666664</v>
      </c>
      <c r="I4" s="137">
        <f>H4*12</f>
        <v>500000</v>
      </c>
    </row>
  </sheetData>
  <mergeCells count="1">
    <mergeCell ref="G2:G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Comercios</vt:lpstr>
      <vt:lpstr>Serviços</vt:lpstr>
      <vt:lpstr>Planos para na esquecer</vt:lpstr>
      <vt:lpstr>visitar</vt:lpstr>
      <vt:lpstr>PLANO DE PAGAMENTO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2025-04-12T22:14:36Z</dcterms:created>
  <dcterms:modified xsi:type="dcterms:W3CDTF">2025-09-20T03:44:54Z</dcterms:modified>
</cp:coreProperties>
</file>